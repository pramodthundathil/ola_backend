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te OlaCredits\Desktop\Ola Credits\"/>
    </mc:Choice>
  </mc:AlternateContent>
  <xr:revisionPtr revIDLastSave="0" documentId="13_ncr:1_{3579B0CD-3DDF-4D85-B8A0-5C41B89ABFF4}" xr6:coauthVersionLast="47" xr6:coauthVersionMax="47" xr10:uidLastSave="{00000000-0000-0000-0000-000000000000}"/>
  <bookViews>
    <workbookView xWindow="-19310" yWindow="-110" windowWidth="19420" windowHeight="10300" firstSheet="2" activeTab="2" xr2:uid="{52BA6043-07D7-4BCA-99CA-E82D678FA64F}"/>
  </bookViews>
  <sheets>
    <sheet name="Simulador (2)" sheetId="3" state="hidden" r:id="rId1"/>
    <sheet name="Hoja1" sheetId="4" state="hidden" r:id="rId2"/>
    <sheet name="Hoja3" sheetId="6" r:id="rId3"/>
    <sheet name="Simulador" sheetId="1" state="hidden" r:id="rId4"/>
    <sheet name="Tabla Rápida" sheetId="2" state="hidden" r:id="rId5"/>
    <sheet name="Hoja2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6" l="1"/>
  <c r="J13" i="6" l="1"/>
  <c r="P13" i="6" s="1"/>
  <c r="I13" i="6"/>
  <c r="M8" i="6"/>
  <c r="J12" i="6"/>
  <c r="P12" i="6" s="1"/>
  <c r="J10" i="6"/>
  <c r="P10" i="6" s="1"/>
  <c r="J9" i="6"/>
  <c r="P9" i="6" s="1"/>
  <c r="J8" i="6"/>
  <c r="I12" i="6"/>
  <c r="I10" i="6"/>
  <c r="I9" i="6"/>
  <c r="M5" i="5"/>
  <c r="L5" i="5"/>
  <c r="K5" i="5"/>
  <c r="J5" i="5"/>
  <c r="I5" i="5"/>
  <c r="H5" i="5"/>
  <c r="G5" i="5"/>
  <c r="F5" i="5"/>
  <c r="E5" i="5"/>
  <c r="D5" i="5"/>
  <c r="C5" i="5"/>
  <c r="B5" i="5"/>
  <c r="I8" i="3"/>
  <c r="G9" i="3"/>
  <c r="G8" i="3"/>
  <c r="D3" i="1"/>
  <c r="D6" i="1" s="1"/>
  <c r="D5" i="3"/>
  <c r="N8" i="6" l="1"/>
  <c r="O8" i="6" s="1"/>
  <c r="X7" i="6"/>
  <c r="P8" i="6"/>
  <c r="K8" i="6"/>
  <c r="K13" i="6"/>
  <c r="M9" i="6"/>
  <c r="R9" i="6" s="1"/>
  <c r="K10" i="6"/>
  <c r="K12" i="6"/>
  <c r="K9" i="6"/>
  <c r="D5" i="1"/>
  <c r="K10" i="3"/>
  <c r="I10" i="3"/>
  <c r="G10" i="3"/>
  <c r="K9" i="3"/>
  <c r="I9" i="3"/>
  <c r="K8" i="3"/>
  <c r="I11" i="1"/>
  <c r="G11" i="1"/>
  <c r="E11" i="1"/>
  <c r="I10" i="1"/>
  <c r="G10" i="1"/>
  <c r="E10" i="1"/>
  <c r="I9" i="1"/>
  <c r="G9" i="1"/>
  <c r="E9" i="1"/>
  <c r="B2" i="2"/>
  <c r="AG7" i="6" l="1"/>
  <c r="AH7" i="6" s="1"/>
  <c r="Y7" i="6"/>
  <c r="R8" i="6"/>
  <c r="AC7" i="6" s="1"/>
  <c r="AC8" i="6" s="1"/>
  <c r="AC9" i="6" s="1"/>
  <c r="AC10" i="6" s="1"/>
  <c r="AC11" i="6" s="1"/>
  <c r="AC12" i="6" s="1"/>
  <c r="AC13" i="6" s="1"/>
  <c r="AC14" i="6" s="1"/>
  <c r="Q8" i="6"/>
  <c r="N9" i="6"/>
  <c r="O9" i="6" s="1"/>
  <c r="Q9" i="6" s="1"/>
  <c r="M10" i="6"/>
  <c r="R10" i="6" s="1"/>
  <c r="D9" i="1"/>
  <c r="C9" i="1" s="1"/>
  <c r="F9" i="3"/>
  <c r="D9" i="3" s="1"/>
  <c r="C9" i="3" s="1"/>
  <c r="F10" i="3"/>
  <c r="D10" i="3" s="1"/>
  <c r="D11" i="3" s="1"/>
  <c r="E11" i="3" s="1"/>
  <c r="F8" i="3"/>
  <c r="D8" i="3" s="1"/>
  <c r="H8" i="3" s="1"/>
  <c r="D11" i="1"/>
  <c r="C11" i="1" s="1"/>
  <c r="B5" i="2"/>
  <c r="F5" i="2"/>
  <c r="J5" i="2"/>
  <c r="B6" i="2"/>
  <c r="F6" i="2"/>
  <c r="J6" i="2"/>
  <c r="B7" i="2"/>
  <c r="F7" i="2"/>
  <c r="J7" i="2"/>
  <c r="B8" i="2"/>
  <c r="F8" i="2"/>
  <c r="J8" i="2"/>
  <c r="B9" i="2"/>
  <c r="F9" i="2"/>
  <c r="J9" i="2"/>
  <c r="B10" i="2"/>
  <c r="F10" i="2"/>
  <c r="J10" i="2"/>
  <c r="B11" i="2"/>
  <c r="F11" i="2"/>
  <c r="J11" i="2"/>
  <c r="B12" i="2"/>
  <c r="F12" i="2"/>
  <c r="J12" i="2"/>
  <c r="B13" i="2"/>
  <c r="F13" i="2"/>
  <c r="J13" i="2"/>
  <c r="D10" i="1"/>
  <c r="C10" i="1" s="1"/>
  <c r="AG8" i="6" l="1"/>
  <c r="AG9" i="6" s="1"/>
  <c r="AI7" i="6"/>
  <c r="AI8" i="6" s="1"/>
  <c r="AI9" i="6" s="1"/>
  <c r="AI10" i="6" s="1"/>
  <c r="AI11" i="6" s="1"/>
  <c r="AI12" i="6" s="1"/>
  <c r="AI13" i="6" s="1"/>
  <c r="AI14" i="6" s="1"/>
  <c r="AI15" i="6" s="1"/>
  <c r="AI16" i="6" s="1"/>
  <c r="AI17" i="6" s="1"/>
  <c r="AI18" i="6" s="1"/>
  <c r="AI19" i="6" s="1"/>
  <c r="AI20" i="6" s="1"/>
  <c r="AI21" i="6" s="1"/>
  <c r="AI22" i="6" s="1"/>
  <c r="AH8" i="6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E7" i="6"/>
  <c r="X8" i="6" s="1" a="1"/>
  <c r="X8" i="6" s="1"/>
  <c r="AD7" i="6"/>
  <c r="AD8" i="6" s="1"/>
  <c r="AD9" i="6" s="1"/>
  <c r="AD10" i="6" s="1"/>
  <c r="AD11" i="6" s="1"/>
  <c r="AD12" i="6" s="1"/>
  <c r="AD13" i="6" s="1"/>
  <c r="AD14" i="6" s="1"/>
  <c r="AD15" i="6" s="1"/>
  <c r="AD16" i="6" s="1"/>
  <c r="AD17" i="6" s="1"/>
  <c r="AD18" i="6" s="1"/>
  <c r="S8" i="6"/>
  <c r="S9" i="6"/>
  <c r="N10" i="6"/>
  <c r="O10" i="6" s="1"/>
  <c r="Q10" i="6" s="1"/>
  <c r="M11" i="6"/>
  <c r="M12" i="6" s="1"/>
  <c r="H9" i="3"/>
  <c r="L9" i="3"/>
  <c r="J9" i="3"/>
  <c r="L10" i="3"/>
  <c r="C10" i="3"/>
  <c r="J10" i="3"/>
  <c r="L8" i="3"/>
  <c r="C8" i="3"/>
  <c r="H10" i="3"/>
  <c r="J8" i="3"/>
  <c r="J10" i="1"/>
  <c r="F10" i="1"/>
  <c r="H10" i="1"/>
  <c r="M12" i="2"/>
  <c r="L12" i="2"/>
  <c r="K12" i="2"/>
  <c r="I11" i="2"/>
  <c r="H11" i="2"/>
  <c r="G11" i="2"/>
  <c r="E10" i="2"/>
  <c r="D10" i="2"/>
  <c r="C10" i="2"/>
  <c r="M8" i="2"/>
  <c r="L8" i="2"/>
  <c r="K8" i="2"/>
  <c r="I7" i="2"/>
  <c r="H7" i="2"/>
  <c r="G7" i="2"/>
  <c r="E6" i="2"/>
  <c r="D6" i="2"/>
  <c r="C6" i="2"/>
  <c r="J11" i="1"/>
  <c r="F11" i="1"/>
  <c r="H11" i="1"/>
  <c r="M13" i="2"/>
  <c r="L13" i="2"/>
  <c r="K13" i="2"/>
  <c r="I12" i="2"/>
  <c r="H12" i="2"/>
  <c r="G12" i="2"/>
  <c r="E11" i="2"/>
  <c r="D11" i="2"/>
  <c r="C11" i="2"/>
  <c r="M9" i="2"/>
  <c r="L9" i="2"/>
  <c r="K9" i="2"/>
  <c r="I8" i="2"/>
  <c r="H8" i="2"/>
  <c r="G8" i="2"/>
  <c r="E7" i="2"/>
  <c r="D7" i="2"/>
  <c r="C7" i="2"/>
  <c r="M5" i="2"/>
  <c r="L5" i="2"/>
  <c r="K5" i="2"/>
  <c r="I13" i="2"/>
  <c r="H13" i="2"/>
  <c r="G13" i="2"/>
  <c r="E12" i="2"/>
  <c r="D12" i="2"/>
  <c r="C12" i="2"/>
  <c r="M10" i="2"/>
  <c r="L10" i="2"/>
  <c r="K10" i="2"/>
  <c r="I9" i="2"/>
  <c r="H9" i="2"/>
  <c r="G9" i="2"/>
  <c r="E8" i="2"/>
  <c r="D8" i="2"/>
  <c r="C8" i="2"/>
  <c r="M6" i="2"/>
  <c r="L6" i="2"/>
  <c r="K6" i="2"/>
  <c r="I5" i="2"/>
  <c r="H5" i="2"/>
  <c r="G5" i="2"/>
  <c r="H9" i="1"/>
  <c r="J9" i="1"/>
  <c r="F9" i="1"/>
  <c r="E13" i="2"/>
  <c r="D13" i="2"/>
  <c r="C13" i="2"/>
  <c r="M11" i="2"/>
  <c r="L11" i="2"/>
  <c r="K11" i="2"/>
  <c r="I10" i="2"/>
  <c r="H10" i="2"/>
  <c r="G10" i="2"/>
  <c r="E9" i="2"/>
  <c r="D9" i="2"/>
  <c r="C9" i="2"/>
  <c r="M7" i="2"/>
  <c r="L7" i="2"/>
  <c r="K7" i="2"/>
  <c r="I6" i="2"/>
  <c r="H6" i="2"/>
  <c r="G6" i="2"/>
  <c r="E5" i="2"/>
  <c r="D5" i="2"/>
  <c r="C5" i="2"/>
  <c r="M13" i="6" l="1"/>
  <c r="R13" i="6" s="1"/>
  <c r="R12" i="6"/>
  <c r="AG10" i="6"/>
  <c r="AE8" i="6"/>
  <c r="X9" i="6" s="1" a="1"/>
  <c r="X9" i="6" s="1"/>
  <c r="N13" i="6"/>
  <c r="O13" i="6" s="1"/>
  <c r="Q13" i="6" s="1"/>
  <c r="S10" i="6"/>
  <c r="N12" i="6"/>
  <c r="O12" i="6" s="1"/>
  <c r="Q12" i="6" s="1"/>
  <c r="AG11" i="6" l="1"/>
  <c r="AE9" i="6"/>
  <c r="X10" i="6" s="1" a="1"/>
  <c r="X10" i="6" s="1"/>
  <c r="S13" i="6"/>
  <c r="S12" i="6"/>
  <c r="AG12" i="6" l="1"/>
  <c r="AE10" i="6"/>
  <c r="X11" i="6" s="1" a="1"/>
  <c r="X11" i="6" s="1"/>
  <c r="AG13" i="6" l="1"/>
  <c r="AE11" i="6"/>
  <c r="X12" i="6" s="1" a="1"/>
  <c r="X12" i="6" s="1"/>
  <c r="AG14" i="6" l="1"/>
  <c r="AE12" i="6"/>
  <c r="X13" i="6" s="1" a="1"/>
  <c r="X13" i="6" s="1"/>
  <c r="AE13" i="6" l="1"/>
  <c r="X14" i="6" s="1" a="1"/>
  <c r="X14" i="6" s="1"/>
  <c r="AE14" i="6" l="1"/>
  <c r="X15" i="6" s="1" a="1"/>
  <c r="X15" i="6" s="1"/>
  <c r="AE15" i="6" l="1"/>
  <c r="X16" i="6" s="1" a="1"/>
  <c r="X16" i="6" s="1"/>
  <c r="AE16" i="6" l="1"/>
  <c r="X17" i="6" s="1" a="1"/>
  <c r="X17" i="6" s="1"/>
  <c r="AE17" i="6" l="1"/>
  <c r="X18" i="6" s="1" a="1"/>
  <c r="X18" i="6" s="1"/>
  <c r="AE18" i="6" l="1"/>
  <c r="X19" i="6" s="1" a="1"/>
  <c r="X19" i="6" s="1"/>
  <c r="AE19" i="6" l="1"/>
  <c r="X20" i="6" s="1" a="1"/>
  <c r="X20" i="6" s="1"/>
  <c r="AE20" i="6" l="1"/>
  <c r="X21" i="6" s="1" a="1"/>
  <c r="X21" i="6" s="1"/>
  <c r="AE21" i="6" l="1"/>
  <c r="X22" i="6" s="1" a="1"/>
  <c r="X22" i="6" s="1"/>
  <c r="AE22" i="6" l="1"/>
  <c r="X23" i="6" s="1" a="1"/>
  <c r="X23" i="6" s="1"/>
  <c r="V2" i="6" l="1"/>
  <c r="V3" i="6" s="1"/>
  <c r="V4" i="6" s="1"/>
  <c r="V8" i="6" s="1"/>
  <c r="W8" i="6" l="1"/>
  <c r="Y8" i="6" l="1"/>
  <c r="V9" i="6" s="1"/>
  <c r="W9" i="6" s="1"/>
  <c r="Y9" i="6" s="1"/>
  <c r="V10" i="6" s="1"/>
  <c r="W10" i="6" s="1"/>
  <c r="Y10" i="6" s="1"/>
  <c r="V11" i="6" l="1"/>
  <c r="W11" i="6" s="1"/>
  <c r="Y11" i="6" s="1"/>
  <c r="V12" i="6" l="1"/>
  <c r="W12" i="6" s="1"/>
  <c r="Y12" i="6" s="1"/>
  <c r="V13" i="6" l="1"/>
  <c r="W13" i="6" s="1"/>
  <c r="Y13" i="6" s="1"/>
  <c r="V14" i="6" l="1"/>
  <c r="W14" i="6" s="1"/>
  <c r="Y14" i="6" s="1"/>
  <c r="V15" i="6" l="1"/>
  <c r="W15" i="6" s="1"/>
  <c r="Y15" i="6" s="1"/>
  <c r="V16" i="6" l="1"/>
  <c r="W16" i="6" s="1"/>
  <c r="Y16" i="6" s="1"/>
  <c r="V17" i="6" l="1"/>
  <c r="W17" i="6" s="1"/>
  <c r="Y17" i="6" s="1"/>
  <c r="V18" i="6" l="1"/>
  <c r="W18" i="6" s="1"/>
  <c r="Y18" i="6" s="1"/>
  <c r="V19" i="6" l="1"/>
  <c r="W19" i="6" s="1"/>
  <c r="Y19" i="6" s="1"/>
  <c r="V20" i="6" l="1"/>
  <c r="W20" i="6" s="1"/>
  <c r="Y20" i="6" s="1"/>
  <c r="V21" i="6" l="1"/>
  <c r="W21" i="6" s="1"/>
  <c r="Y21" i="6" s="1"/>
  <c r="V22" i="6" l="1"/>
  <c r="W22" i="6" s="1"/>
  <c r="Y22" i="6" s="1"/>
  <c r="V23" i="6" l="1"/>
  <c r="W23" i="6" l="1"/>
  <c r="V24" i="6"/>
  <c r="Y23" i="6" l="1"/>
  <c r="W24" i="6"/>
  <c r="X2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<sst xmlns="http://schemas.openxmlformats.org/spreadsheetml/2006/main" count="156" uniqueCount="92">
  <si>
    <t>Precio de Equipo</t>
  </si>
  <si>
    <t>Abono</t>
  </si>
  <si>
    <t>Ingreso mensual (USD)</t>
  </si>
  <si>
    <t>Monto a financiar (USD)</t>
  </si>
  <si>
    <t>Plazo (meses)</t>
  </si>
  <si>
    <t>Cuota mensual</t>
  </si>
  <si>
    <t>Límite 10%</t>
  </si>
  <si>
    <t>Viable 10%</t>
  </si>
  <si>
    <t>Límite 20%</t>
  </si>
  <si>
    <t>Viable 20%</t>
  </si>
  <si>
    <t>Límite 30%</t>
  </si>
  <si>
    <t>Viable 30%</t>
  </si>
  <si>
    <t>Instrucciones:</t>
  </si>
  <si>
    <t>- Cambia B1 (Ingreso) y B2 (Monto) para simular.</t>
  </si>
  <si>
    <t>- La cuota mensual se compara contra 10%, 20% y 30% del ingreso.</t>
  </si>
  <si>
    <t>- Las columnas Viable indican 'SI' (viable) o 'NO' (no viable).</t>
  </si>
  <si>
    <t>Monto (desde Simulador B2)</t>
  </si>
  <si>
    <t>Ingreso</t>
  </si>
  <si>
    <t>Cuota 4m</t>
  </si>
  <si>
    <t>Viable 10% (4m)</t>
  </si>
  <si>
    <t>Viable 20% (4m)</t>
  </si>
  <si>
    <t>Viable 30% (4m)</t>
  </si>
  <si>
    <t>Cuota 6m</t>
  </si>
  <si>
    <t>Viable 10% (6m)</t>
  </si>
  <si>
    <t>Viable 20% (6m)</t>
  </si>
  <si>
    <t>Viable 30% (6m)</t>
  </si>
  <si>
    <t>Cuota 8m</t>
  </si>
  <si>
    <t>Viable 10% (8m)</t>
  </si>
  <si>
    <t>Viable 20% (8m)</t>
  </si>
  <si>
    <t>Viable 30% (8m)</t>
  </si>
  <si>
    <t>Cuota Quincenal</t>
  </si>
  <si>
    <t>Total pagar cliente</t>
  </si>
  <si>
    <t>Multiplo</t>
  </si>
  <si>
    <t>Abono $</t>
  </si>
  <si>
    <t>Total a pagar cliente (USD)</t>
  </si>
  <si>
    <t xml:space="preserve">  0.45 * score_apc_norm +</t>
  </si>
  <si>
    <t xml:space="preserve">  0.20 * biometria_confianza +</t>
  </si>
  <si>
    <t xml:space="preserve">  0.20 * capacidad_norm +       # (cuota_max - cuota)/cuota_max</t>
  </si>
  <si>
    <t xml:space="preserve">  0.10 * referencias_score +    # validez/contactabilidad</t>
  </si>
  <si>
    <t xml:space="preserve">  0.10 * geocomportamiento      # consistencia ubicación/dispositivo</t>
  </si>
  <si>
    <t>Tier B</t>
  </si>
  <si>
    <t>Tier C</t>
  </si>
  <si>
    <t>Tier D</t>
  </si>
  <si>
    <t>Tier E</t>
  </si>
  <si>
    <t xml:space="preserve">Tier A </t>
  </si>
  <si>
    <t>(Low Risk)</t>
  </si>
  <si>
    <t>(medio)</t>
  </si>
  <si>
    <t>(alto)</t>
  </si>
  <si>
    <t>(Very High)</t>
  </si>
  <si>
    <t>(No Score)</t>
  </si>
  <si>
    <t>Cortes</t>
  </si>
  <si>
    <t>Categorias</t>
  </si>
  <si>
    <t>Score Apc</t>
  </si>
  <si>
    <t>550+</t>
  </si>
  <si>
    <t>500-549</t>
  </si>
  <si>
    <t>450-499</t>
  </si>
  <si>
    <t>Salario</t>
  </si>
  <si>
    <t>Reject</t>
  </si>
  <si>
    <t>Abonos</t>
  </si>
  <si>
    <t>Rejected</t>
  </si>
  <si>
    <t>4,6,8</t>
  </si>
  <si>
    <t>Meses</t>
  </si>
  <si>
    <t xml:space="preserve">Salario </t>
  </si>
  <si>
    <t>Cuota</t>
  </si>
  <si>
    <t>Equipo</t>
  </si>
  <si>
    <t>Maximo a Financiar</t>
  </si>
  <si>
    <t>Endeudamiento</t>
  </si>
  <si>
    <t>Monto a financiar</t>
  </si>
  <si>
    <t>Financiamiento</t>
  </si>
  <si>
    <t>Veredicto</t>
  </si>
  <si>
    <t>Tier F</t>
  </si>
  <si>
    <t>(No Salario)</t>
  </si>
  <si>
    <t>600+</t>
  </si>
  <si>
    <t>Tier G</t>
  </si>
  <si>
    <t>(Sin Referencia)</t>
  </si>
  <si>
    <t>Cuotas quincenal</t>
  </si>
  <si>
    <t>Cuotas</t>
  </si>
  <si>
    <t>Interes</t>
  </si>
  <si>
    <t>capital</t>
  </si>
  <si>
    <t>Valor cuota</t>
  </si>
  <si>
    <t>Saldo</t>
  </si>
  <si>
    <t>Tasa Efectiva</t>
  </si>
  <si>
    <t>Tasa Nominal</t>
  </si>
  <si>
    <t>Tasa Quincenal</t>
  </si>
  <si>
    <t>Motor de decision</t>
  </si>
  <si>
    <t>Financiamiento Aprobado</t>
  </si>
  <si>
    <t>Detalle de Financiamiento</t>
  </si>
  <si>
    <t>Amortizacion</t>
  </si>
  <si>
    <t>Total</t>
  </si>
  <si>
    <t>Multiplos</t>
  </si>
  <si>
    <t>Tier H</t>
  </si>
  <si>
    <t>Cliente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</si>
</sst>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[$$-1009]#,##0"/>
    <numFmt numFmtId="167" formatCode="[$$-1009]#,##0.00"/>
    <numFmt numFmtId="168" formatCode="_(* #,##0_);_(* \(#,##0\);_(* &quot;-&quot;??_);_(@_)"/>
    <numFmt numFmtId="169" formatCode="_-[$$-1009]* #,##0.00_-;\-[$$-1009]* #,##0.00_-;_-[$$-1009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1" xfId="0" applyBorder="1"/>
    <xf numFmtId="0" fontId="1" fillId="0" borderId="1" xfId="0" applyFont="1" applyBorder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166" fontId="0" fillId="0" borderId="1" xfId="0" applyNumberFormat="1" applyBorder="1"/>
    <xf numFmtId="167" fontId="0" fillId="0" borderId="4" xfId="0" applyNumberFormat="1" applyBorder="1"/>
    <xf numFmtId="167" fontId="0" fillId="0" borderId="6" xfId="0" applyNumberFormat="1" applyBorder="1"/>
    <xf numFmtId="167" fontId="0" fillId="0" borderId="9" xfId="0" applyNumberFormat="1" applyBorder="1"/>
    <xf numFmtId="168" fontId="0" fillId="0" borderId="0" xfId="1" applyNumberFormat="1" applyFont="1"/>
    <xf numFmtId="168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/>
    <xf numFmtId="0" fontId="4" fillId="0" borderId="1" xfId="0" applyFont="1" applyBorder="1"/>
    <xf numFmtId="0" fontId="0" fillId="2" borderId="0" xfId="0" applyFill="1"/>
    <xf numFmtId="169" fontId="0" fillId="0" borderId="1" xfId="0" applyNumberFormat="1" applyBorder="1"/>
    <xf numFmtId="168" fontId="0" fillId="0" borderId="1" xfId="1" applyNumberFormat="1" applyFont="1" applyBorder="1" applyAlignment="1">
      <alignment horizontal="left"/>
    </xf>
    <xf numFmtId="167" fontId="0" fillId="0" borderId="1" xfId="0" applyNumberFormat="1" applyBorder="1"/>
    <xf numFmtId="0" fontId="3" fillId="0" borderId="1" xfId="0" applyFont="1" applyBorder="1"/>
    <xf numFmtId="166" fontId="3" fillId="0" borderId="1" xfId="0" applyNumberFormat="1" applyFont="1" applyBorder="1"/>
    <xf numFmtId="166" fontId="0" fillId="0" borderId="0" xfId="0" applyNumberFormat="1"/>
    <xf numFmtId="9" fontId="0" fillId="0" borderId="0" xfId="2" applyFont="1"/>
    <xf numFmtId="0" fontId="0" fillId="3" borderId="1" xfId="0" applyFill="1" applyBorder="1"/>
    <xf numFmtId="167" fontId="0" fillId="3" borderId="1" xfId="0" applyNumberFormat="1" applyFill="1" applyBorder="1"/>
    <xf numFmtId="0" fontId="5" fillId="0" borderId="0" xfId="0" applyFont="1"/>
    <xf numFmtId="166" fontId="5" fillId="0" borderId="0" xfId="0" applyNumberFormat="1" applyFont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9" fontId="0" fillId="4" borderId="1" xfId="0" applyNumberForma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167" fontId="0" fillId="4" borderId="1" xfId="0" applyNumberFormat="1" applyFill="1" applyBorder="1"/>
    <xf numFmtId="0" fontId="3" fillId="5" borderId="10" xfId="0" applyFont="1" applyFill="1" applyBorder="1"/>
    <xf numFmtId="10" fontId="0" fillId="0" borderId="1" xfId="2" applyNumberFormat="1" applyFont="1" applyBorder="1"/>
    <xf numFmtId="10" fontId="0" fillId="0" borderId="10" xfId="2" applyNumberFormat="1" applyFont="1" applyBorder="1"/>
    <xf numFmtId="0" fontId="5" fillId="0" borderId="1" xfId="0" applyFont="1" applyBorder="1"/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ED32-B307-4B7D-900B-9E474F6964B0}">
  <dimension ref="B1:L15"/>
  <sheetViews>
    <sheetView showGridLines="0" workbookViewId="0">
      <selection activeCell="F13" sqref="F13"/>
    </sheetView>
  </sheetViews>
  <sheetFormatPr baseColWidth="10" defaultColWidth="8.90625" defaultRowHeight="14.5" x14ac:dyDescent="0.35"/>
  <cols>
    <col min="2" max="2" width="20.90625" customWidth="1"/>
    <col min="3" max="3" width="14.90625" bestFit="1" customWidth="1"/>
    <col min="4" max="4" width="13.54296875" bestFit="1" customWidth="1"/>
    <col min="5" max="5" width="9" bestFit="1" customWidth="1"/>
    <col min="6" max="12" width="18" customWidth="1"/>
  </cols>
  <sheetData>
    <row r="1" spans="2:12" ht="15" thickBot="1" x14ac:dyDescent="0.4"/>
    <row r="2" spans="2:12" x14ac:dyDescent="0.35">
      <c r="B2" s="7" t="s">
        <v>0</v>
      </c>
      <c r="C2" s="8"/>
      <c r="D2" s="14">
        <v>160</v>
      </c>
    </row>
    <row r="3" spans="2:12" x14ac:dyDescent="0.35">
      <c r="B3" s="9" t="s">
        <v>1</v>
      </c>
      <c r="D3" s="10">
        <v>0.3</v>
      </c>
      <c r="E3" s="1"/>
      <c r="F3" s="1"/>
    </row>
    <row r="4" spans="2:12" x14ac:dyDescent="0.35">
      <c r="B4" s="9" t="s">
        <v>2</v>
      </c>
      <c r="D4" s="15">
        <v>800</v>
      </c>
    </row>
    <row r="5" spans="2:12" ht="15" thickBot="1" x14ac:dyDescent="0.4">
      <c r="B5" s="11" t="s">
        <v>3</v>
      </c>
      <c r="C5" s="12"/>
      <c r="D5" s="16">
        <f>D2-D2*D3</f>
        <v>112</v>
      </c>
    </row>
    <row r="7" spans="2:12" x14ac:dyDescent="0.35">
      <c r="B7" s="5" t="s">
        <v>4</v>
      </c>
      <c r="C7" s="5" t="s">
        <v>30</v>
      </c>
      <c r="D7" s="5" t="s">
        <v>5</v>
      </c>
      <c r="E7" s="5" t="s">
        <v>32</v>
      </c>
      <c r="F7" s="5" t="s">
        <v>31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</row>
    <row r="8" spans="2:12" x14ac:dyDescent="0.35">
      <c r="B8" s="4">
        <v>4</v>
      </c>
      <c r="C8" s="13">
        <f>D8/2</f>
        <v>23.183259238048258</v>
      </c>
      <c r="D8" s="13">
        <f>F8/B8</f>
        <v>46.366518476096516</v>
      </c>
      <c r="E8" s="6">
        <v>1.6559470884320184</v>
      </c>
      <c r="F8" s="13">
        <f>D5*E8</f>
        <v>185.46607390438606</v>
      </c>
      <c r="G8" s="20">
        <f>D4*0.1</f>
        <v>80</v>
      </c>
      <c r="H8" t="str">
        <f>IF(D8&lt;=G8,"SI","NO")</f>
        <v>SI</v>
      </c>
      <c r="I8" s="20">
        <f>D4*0.2</f>
        <v>160</v>
      </c>
      <c r="J8" t="str">
        <f>IF(D8&lt;=I8,"SI","NO")</f>
        <v>SI</v>
      </c>
      <c r="K8">
        <f>D4*0.3</f>
        <v>240</v>
      </c>
      <c r="L8" t="str">
        <f>IF(D8&lt;=K8,"SI","NO")</f>
        <v>SI</v>
      </c>
    </row>
    <row r="9" spans="2:12" x14ac:dyDescent="0.35">
      <c r="B9" s="4">
        <v>6</v>
      </c>
      <c r="C9" s="13">
        <f t="shared" ref="C9:C10" si="0">D9/2</f>
        <v>16.444080537246613</v>
      </c>
      <c r="D9" s="13">
        <f t="shared" ref="D9:D10" si="1">F9/B9</f>
        <v>32.888161074493226</v>
      </c>
      <c r="E9" s="6">
        <v>1.7618657718478514</v>
      </c>
      <c r="F9" s="13">
        <f>D5*E9</f>
        <v>197.32896644695936</v>
      </c>
      <c r="G9" s="20">
        <f>D4*0.1</f>
        <v>80</v>
      </c>
      <c r="H9" t="str">
        <f>IF(D9&lt;=G9,"SI","NO")</f>
        <v>SI</v>
      </c>
      <c r="I9">
        <f>D4*0.2</f>
        <v>160</v>
      </c>
      <c r="J9" t="str">
        <f>IF(D9&lt;=I9,"SI","NO")</f>
        <v>SI</v>
      </c>
      <c r="K9">
        <f>D4*0.3</f>
        <v>240</v>
      </c>
      <c r="L9" t="str">
        <f>IF(D9&lt;=K9,"SI","NO")</f>
        <v>SI</v>
      </c>
    </row>
    <row r="10" spans="2:12" x14ac:dyDescent="0.35">
      <c r="B10" s="4">
        <v>8</v>
      </c>
      <c r="C10" s="13">
        <f t="shared" si="0"/>
        <v>14.14</v>
      </c>
      <c r="D10" s="13">
        <f t="shared" si="1"/>
        <v>28.28</v>
      </c>
      <c r="E10" s="6">
        <v>2.02</v>
      </c>
      <c r="F10" s="13">
        <f>D5*E10</f>
        <v>226.24</v>
      </c>
      <c r="G10">
        <f>D4*0.1</f>
        <v>80</v>
      </c>
      <c r="H10" t="str">
        <f>IF(D10&lt;=G10,"SI","NO")</f>
        <v>SI</v>
      </c>
      <c r="I10">
        <f>D4*0.2</f>
        <v>160</v>
      </c>
      <c r="J10" t="str">
        <f>IF(D10&lt;=I10,"SI","NO")</f>
        <v>SI</v>
      </c>
      <c r="K10">
        <f>D4*0.3</f>
        <v>240</v>
      </c>
      <c r="L10" t="str">
        <f>IF(D10&lt;=K10,"SI","NO")</f>
        <v>SI</v>
      </c>
    </row>
    <row r="11" spans="2:12" x14ac:dyDescent="0.35">
      <c r="D11" s="20">
        <f>D10*B10</f>
        <v>226.24</v>
      </c>
      <c r="E11" s="22">
        <f>D11/D5</f>
        <v>2.02</v>
      </c>
      <c r="F11" s="3">
        <v>226.51</v>
      </c>
    </row>
    <row r="12" spans="2:12" x14ac:dyDescent="0.35">
      <c r="B12" s="2" t="s">
        <v>12</v>
      </c>
      <c r="C12" s="2"/>
    </row>
    <row r="13" spans="2:12" x14ac:dyDescent="0.35">
      <c r="B13" t="s">
        <v>13</v>
      </c>
    </row>
    <row r="14" spans="2:12" x14ac:dyDescent="0.35">
      <c r="B14" t="s">
        <v>14</v>
      </c>
    </row>
    <row r="15" spans="2:12" x14ac:dyDescent="0.35">
      <c r="B15" t="s">
        <v>15</v>
      </c>
    </row>
  </sheetData>
  <conditionalFormatting sqref="H8:H10">
    <cfRule type="expression" dxfId="15" priority="1">
      <formula>H8="SI"</formula>
    </cfRule>
    <cfRule type="expression" dxfId="14" priority="2">
      <formula>H8="NO"</formula>
    </cfRule>
  </conditionalFormatting>
  <conditionalFormatting sqref="J8:J10">
    <cfRule type="expression" dxfId="13" priority="3">
      <formula>J8="SI"</formula>
    </cfRule>
    <cfRule type="expression" dxfId="12" priority="4">
      <formula>J8="NO"</formula>
    </cfRule>
  </conditionalFormatting>
  <conditionalFormatting sqref="L8:L10">
    <cfRule type="expression" dxfId="11" priority="5">
      <formula>L8="SI"</formula>
    </cfRule>
    <cfRule type="expression" dxfId="10" priority="6">
      <formula>L8="NO"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23D2-BE14-42BF-8577-18BFCF4C5921}">
  <dimension ref="A1:A5"/>
  <sheetViews>
    <sheetView workbookViewId="0">
      <selection sqref="A1:A5"/>
    </sheetView>
  </sheetViews>
  <sheetFormatPr baseColWidth="10" defaultRowHeight="14.5" x14ac:dyDescent="0.35"/>
  <sheetData>
    <row r="1" spans="1:1" x14ac:dyDescent="0.35">
      <c r="A1" s="21" t="s">
        <v>35</v>
      </c>
    </row>
    <row r="2" spans="1:1" x14ac:dyDescent="0.35">
      <c r="A2" s="21" t="s">
        <v>36</v>
      </c>
    </row>
    <row r="3" spans="1:1" x14ac:dyDescent="0.35">
      <c r="A3" s="21" t="s">
        <v>37</v>
      </c>
    </row>
    <row r="4" spans="1:1" x14ac:dyDescent="0.35">
      <c r="A4" s="21" t="s">
        <v>38</v>
      </c>
    </row>
    <row r="5" spans="1:1" x14ac:dyDescent="0.35">
      <c r="A5" s="21" t="s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F9E7-9FC3-47A3-BC32-243D5568D6B2}">
  <dimension ref="B1:AJ24"/>
  <sheetViews>
    <sheetView showGridLines="0" tabSelected="1" zoomScaleNormal="100" workbookViewId="0">
      <pane xSplit="3" topLeftCell="O1" activePane="topRight" state="frozen"/>
      <selection pane="topRight" activeCell="W6" sqref="W6"/>
    </sheetView>
  </sheetViews>
  <sheetFormatPr baseColWidth="10" defaultRowHeight="14.5" x14ac:dyDescent="0.35"/>
  <cols>
    <col min="3" max="3" width="13.81640625" bestFit="1" customWidth="1"/>
    <col min="5" max="5" width="15.08984375" bestFit="1" customWidth="1"/>
    <col min="7" max="7" width="7.90625" bestFit="1" customWidth="1"/>
    <col min="8" max="8" width="2.26953125" customWidth="1"/>
    <col min="9" max="10" width="10.90625" customWidth="1"/>
    <col min="11" max="11" width="17.1796875" customWidth="1"/>
    <col min="12" max="12" width="1.81640625" customWidth="1"/>
    <col min="13" max="14" width="10.90625" customWidth="1"/>
    <col min="15" max="15" width="15.6328125" customWidth="1"/>
    <col min="16" max="16" width="10.90625" customWidth="1"/>
    <col min="17" max="17" width="13.54296875" customWidth="1"/>
    <col min="18" max="18" width="16" customWidth="1"/>
    <col min="19" max="19" width="10.90625" customWidth="1"/>
    <col min="20" max="20" width="3.08984375" customWidth="1"/>
    <col min="21" max="21" width="13.453125" bestFit="1" customWidth="1"/>
  </cols>
  <sheetData>
    <row r="1" spans="2:35" x14ac:dyDescent="0.35">
      <c r="O1" s="39" t="s">
        <v>61</v>
      </c>
      <c r="P1" s="39" t="s">
        <v>89</v>
      </c>
    </row>
    <row r="2" spans="2:35" x14ac:dyDescent="0.35">
      <c r="B2" s="4" t="s">
        <v>62</v>
      </c>
      <c r="C2" s="27">
        <v>700</v>
      </c>
      <c r="N2" s="34"/>
      <c r="O2" s="46">
        <v>4</v>
      </c>
      <c r="P2" s="46">
        <v>1.7</v>
      </c>
      <c r="U2" s="40" t="s">
        <v>81</v>
      </c>
      <c r="V2" s="44">
        <f>+IRR(X7:X23)*24</f>
        <v>2.7009428589599374</v>
      </c>
      <c r="W2" s="31"/>
    </row>
    <row r="3" spans="2:35" x14ac:dyDescent="0.35">
      <c r="B3" s="4" t="s">
        <v>64</v>
      </c>
      <c r="C3" s="27">
        <v>350</v>
      </c>
      <c r="N3" s="34"/>
      <c r="O3" s="46">
        <v>6</v>
      </c>
      <c r="P3" s="46">
        <v>1.8</v>
      </c>
      <c r="U3" s="40" t="s">
        <v>82</v>
      </c>
      <c r="V3" s="44">
        <f>V2/12</f>
        <v>0.22507857157999478</v>
      </c>
    </row>
    <row r="4" spans="2:35" x14ac:dyDescent="0.35">
      <c r="N4" s="34"/>
      <c r="O4" s="46">
        <v>8</v>
      </c>
      <c r="P4" s="46">
        <v>2.2000000000000002</v>
      </c>
      <c r="U4" s="43" t="s">
        <v>83</v>
      </c>
      <c r="V4" s="45">
        <f>V3/2</f>
        <v>0.11253928578999739</v>
      </c>
    </row>
    <row r="5" spans="2:35" x14ac:dyDescent="0.35">
      <c r="U5" s="48" t="s">
        <v>87</v>
      </c>
      <c r="V5" s="48"/>
      <c r="W5" s="48"/>
      <c r="X5" s="48"/>
      <c r="Y5" s="48"/>
    </row>
    <row r="6" spans="2:35" x14ac:dyDescent="0.35">
      <c r="D6" s="47" t="s">
        <v>84</v>
      </c>
      <c r="E6" s="47"/>
      <c r="F6" s="47"/>
      <c r="G6" s="4">
        <v>8</v>
      </c>
      <c r="I6" s="47" t="s">
        <v>85</v>
      </c>
      <c r="J6" s="47"/>
      <c r="K6" s="47"/>
      <c r="M6" s="47" t="s">
        <v>86</v>
      </c>
      <c r="N6" s="47"/>
      <c r="O6" s="47"/>
      <c r="P6" s="47"/>
      <c r="Q6" s="47"/>
      <c r="R6" s="47"/>
      <c r="S6" s="47"/>
      <c r="U6" s="40" t="s">
        <v>76</v>
      </c>
      <c r="V6" s="40" t="s">
        <v>77</v>
      </c>
      <c r="W6" s="40" t="s">
        <v>78</v>
      </c>
      <c r="X6" s="40" t="s">
        <v>79</v>
      </c>
      <c r="Y6" s="40" t="s">
        <v>80</v>
      </c>
      <c r="Z6" s="34"/>
      <c r="AC6">
        <v>4</v>
      </c>
      <c r="AD6">
        <v>6</v>
      </c>
      <c r="AE6">
        <v>8</v>
      </c>
      <c r="AG6">
        <v>4</v>
      </c>
      <c r="AH6">
        <v>6</v>
      </c>
      <c r="AI6">
        <v>8</v>
      </c>
    </row>
    <row r="7" spans="2:35" x14ac:dyDescent="0.35">
      <c r="B7" s="41" t="s">
        <v>50</v>
      </c>
      <c r="C7" s="41" t="s">
        <v>51</v>
      </c>
      <c r="D7" s="41" t="s">
        <v>52</v>
      </c>
      <c r="E7" s="41" t="s">
        <v>66</v>
      </c>
      <c r="F7" s="41" t="s">
        <v>58</v>
      </c>
      <c r="G7" s="41" t="s">
        <v>61</v>
      </c>
      <c r="H7" s="24"/>
      <c r="I7" s="41" t="s">
        <v>63</v>
      </c>
      <c r="J7" s="41" t="s">
        <v>61</v>
      </c>
      <c r="K7" s="41" t="s">
        <v>65</v>
      </c>
      <c r="L7" s="24"/>
      <c r="M7" s="41" t="s">
        <v>64</v>
      </c>
      <c r="N7" s="41" t="s">
        <v>1</v>
      </c>
      <c r="O7" s="41" t="s">
        <v>67</v>
      </c>
      <c r="P7" s="41" t="s">
        <v>32</v>
      </c>
      <c r="Q7" s="41" t="s">
        <v>68</v>
      </c>
      <c r="R7" s="41" t="s">
        <v>75</v>
      </c>
      <c r="S7" s="41" t="s">
        <v>69</v>
      </c>
      <c r="T7" s="24"/>
      <c r="U7" s="32"/>
      <c r="V7" s="32"/>
      <c r="W7" s="32"/>
      <c r="X7" s="4">
        <f>+-(M8*(1-F8))</f>
        <v>-280</v>
      </c>
      <c r="Y7" s="33">
        <f>O8</f>
        <v>280</v>
      </c>
      <c r="Z7" s="34"/>
      <c r="AB7">
        <v>1</v>
      </c>
      <c r="AC7" s="30">
        <f>R8</f>
        <v>38.5</v>
      </c>
      <c r="AD7" s="30">
        <f>R8</f>
        <v>38.5</v>
      </c>
      <c r="AE7" s="30">
        <f>R8</f>
        <v>38.5</v>
      </c>
      <c r="AG7" s="20">
        <f>O8</f>
        <v>280</v>
      </c>
      <c r="AH7" s="20">
        <f>AG7</f>
        <v>280</v>
      </c>
      <c r="AI7" s="20">
        <f>AH7</f>
        <v>280</v>
      </c>
    </row>
    <row r="8" spans="2:35" x14ac:dyDescent="0.35">
      <c r="B8" s="4" t="s">
        <v>44</v>
      </c>
      <c r="C8" s="23" t="s">
        <v>45</v>
      </c>
      <c r="D8" s="36" t="s">
        <v>53</v>
      </c>
      <c r="E8" s="38">
        <v>0.2</v>
      </c>
      <c r="F8" s="38">
        <v>0.2</v>
      </c>
      <c r="G8" s="36" t="s">
        <v>60</v>
      </c>
      <c r="H8" s="24"/>
      <c r="I8" s="25">
        <f>$C$2*E8</f>
        <v>140</v>
      </c>
      <c r="J8" s="26">
        <f>$G$6</f>
        <v>8</v>
      </c>
      <c r="K8" s="27">
        <f>I8*J8</f>
        <v>1120</v>
      </c>
      <c r="L8" s="24"/>
      <c r="M8" s="27">
        <f>C3</f>
        <v>350</v>
      </c>
      <c r="N8" s="13">
        <f>M8*F8</f>
        <v>70</v>
      </c>
      <c r="O8" s="27">
        <f>M8-N8</f>
        <v>280</v>
      </c>
      <c r="P8" s="36">
        <f>VLOOKUP(J8,O:P,2,0)</f>
        <v>2.2000000000000002</v>
      </c>
      <c r="Q8" s="27">
        <f>O8*P8</f>
        <v>616</v>
      </c>
      <c r="R8" s="13">
        <f>((M8*(1-F8))*P8)/($G$6*2)</f>
        <v>38.5</v>
      </c>
      <c r="S8" s="28" t="str">
        <f>IF(Q8&lt;=K8,"APLICA","NO APLICA")</f>
        <v>APLICA</v>
      </c>
      <c r="T8" s="24"/>
      <c r="U8" s="4">
        <v>1</v>
      </c>
      <c r="V8" s="13">
        <f>Y7*$V$4</f>
        <v>31.511000021199269</v>
      </c>
      <c r="W8" s="13">
        <f>X8-V8</f>
        <v>6.9889999788007309</v>
      </c>
      <c r="X8" s="13" cm="1">
        <f t="array" ref="X8">INDEX(AC7:AE22,ROW($AC$1),MATCH($G$6,$AC$6:$AE$6,0))</f>
        <v>38.5</v>
      </c>
      <c r="Y8" s="27">
        <f>Y7-W8</f>
        <v>273.01100002119927</v>
      </c>
      <c r="Z8" s="35"/>
      <c r="AB8">
        <v>2</v>
      </c>
      <c r="AC8" s="30">
        <f>AC7</f>
        <v>38.5</v>
      </c>
      <c r="AD8" s="30">
        <f>AD7</f>
        <v>38.5</v>
      </c>
      <c r="AE8" s="30">
        <f>AE7</f>
        <v>38.5</v>
      </c>
      <c r="AG8" s="20">
        <f>AG7</f>
        <v>280</v>
      </c>
      <c r="AH8" s="20">
        <f t="shared" ref="AH8:AI8" si="0">AH7</f>
        <v>280</v>
      </c>
      <c r="AI8" s="20">
        <f t="shared" si="0"/>
        <v>280</v>
      </c>
    </row>
    <row r="9" spans="2:35" x14ac:dyDescent="0.35">
      <c r="B9" s="4" t="s">
        <v>40</v>
      </c>
      <c r="C9" s="23" t="s">
        <v>46</v>
      </c>
      <c r="D9" s="36" t="s">
        <v>54</v>
      </c>
      <c r="E9" s="38">
        <v>0.15</v>
      </c>
      <c r="F9" s="38">
        <v>0.25</v>
      </c>
      <c r="G9" s="36" t="s">
        <v>60</v>
      </c>
      <c r="H9" s="24"/>
      <c r="I9" s="25">
        <f>$C$2*E9</f>
        <v>105</v>
      </c>
      <c r="J9" s="26">
        <f>$G$6</f>
        <v>8</v>
      </c>
      <c r="K9" s="27">
        <f t="shared" ref="K9:K12" si="1">I9*J9</f>
        <v>840</v>
      </c>
      <c r="L9" s="24"/>
      <c r="M9" s="27">
        <f>M8</f>
        <v>350</v>
      </c>
      <c r="N9" s="13">
        <f t="shared" ref="N9:N10" si="2">M9*F9</f>
        <v>87.5</v>
      </c>
      <c r="O9" s="27">
        <f t="shared" ref="O9:O12" si="3">M9-N9</f>
        <v>262.5</v>
      </c>
      <c r="P9" s="36">
        <f>VLOOKUP(J9,O:P,2,0)</f>
        <v>2.2000000000000002</v>
      </c>
      <c r="Q9" s="27">
        <f t="shared" ref="Q9:Q12" si="4">O9*P9</f>
        <v>577.5</v>
      </c>
      <c r="R9" s="13">
        <f t="shared" ref="R9:R10" si="5">((M9*(1-F9))*P9)/($G$6*2)</f>
        <v>36.09375</v>
      </c>
      <c r="S9" s="28" t="str">
        <f t="shared" ref="S9:S12" si="6">IF(Q9&lt;=K9,"APLICA","NO APLICA")</f>
        <v>APLICA</v>
      </c>
      <c r="T9" s="24"/>
      <c r="U9" s="4">
        <v>2</v>
      </c>
      <c r="V9" s="13">
        <f t="shared" ref="V9:V23" si="7">Y8*$V$4</f>
        <v>30.724462955198728</v>
      </c>
      <c r="W9" s="13">
        <f>X9-V9</f>
        <v>7.7755370448012719</v>
      </c>
      <c r="X9" s="13" cm="1">
        <f t="array" ref="X9">INDEX(AC8:AE23,ROW($AC$1),MATCH($G$6,$AC$6:$AE$6,0))</f>
        <v>38.5</v>
      </c>
      <c r="Y9" s="27">
        <f t="shared" ref="Y9:Y23" si="8">Y8-W9</f>
        <v>265.23546297639797</v>
      </c>
      <c r="Z9" s="35"/>
      <c r="AB9">
        <v>3</v>
      </c>
      <c r="AC9" s="30">
        <f t="shared" ref="AC9:AC14" si="9">AC8</f>
        <v>38.5</v>
      </c>
      <c r="AD9" s="30">
        <f t="shared" ref="AD9:AD18" si="10">AD8</f>
        <v>38.5</v>
      </c>
      <c r="AE9" s="30">
        <f t="shared" ref="AE9:AE22" si="11">AE8</f>
        <v>38.5</v>
      </c>
      <c r="AG9" s="20">
        <f>AG8</f>
        <v>280</v>
      </c>
      <c r="AH9" s="20">
        <f t="shared" ref="AH9:AH18" si="12">AH8</f>
        <v>280</v>
      </c>
      <c r="AI9" s="20">
        <f t="shared" ref="AI9:AI22" si="13">AI8</f>
        <v>280</v>
      </c>
    </row>
    <row r="10" spans="2:35" x14ac:dyDescent="0.35">
      <c r="B10" s="4" t="s">
        <v>41</v>
      </c>
      <c r="C10" s="23" t="s">
        <v>47</v>
      </c>
      <c r="D10" s="36" t="s">
        <v>55</v>
      </c>
      <c r="E10" s="38">
        <v>0.1</v>
      </c>
      <c r="F10" s="38">
        <v>0.3</v>
      </c>
      <c r="G10" s="36" t="s">
        <v>60</v>
      </c>
      <c r="H10" s="24"/>
      <c r="I10" s="25">
        <f>$C$2*E10</f>
        <v>70</v>
      </c>
      <c r="J10" s="26">
        <f>$G$6</f>
        <v>8</v>
      </c>
      <c r="K10" s="27">
        <f t="shared" si="1"/>
        <v>560</v>
      </c>
      <c r="L10" s="24"/>
      <c r="M10" s="27">
        <f t="shared" ref="M10:M12" si="14">M9</f>
        <v>350</v>
      </c>
      <c r="N10" s="13">
        <f t="shared" si="2"/>
        <v>105</v>
      </c>
      <c r="O10" s="27">
        <f t="shared" si="3"/>
        <v>245</v>
      </c>
      <c r="P10" s="36">
        <f>VLOOKUP(J10,O:P,2,0)</f>
        <v>2.2000000000000002</v>
      </c>
      <c r="Q10" s="27">
        <f t="shared" si="4"/>
        <v>539</v>
      </c>
      <c r="R10" s="13">
        <f t="shared" si="5"/>
        <v>33.6875</v>
      </c>
      <c r="S10" s="28" t="str">
        <f t="shared" si="6"/>
        <v>APLICA</v>
      </c>
      <c r="T10" s="24"/>
      <c r="U10" s="4">
        <v>3</v>
      </c>
      <c r="V10" s="13">
        <f t="shared" si="7"/>
        <v>29.849409569543123</v>
      </c>
      <c r="W10" s="13">
        <f t="shared" ref="W10:W23" si="15">X10-V10</f>
        <v>8.6505904304568766</v>
      </c>
      <c r="X10" s="13" cm="1">
        <f t="array" ref="X10">INDEX(AC9:AE24,ROW($AC$1),MATCH($G$6,$AC$6:$AE$6,0))</f>
        <v>38.5</v>
      </c>
      <c r="Y10" s="27">
        <f t="shared" si="8"/>
        <v>256.5848725459411</v>
      </c>
      <c r="Z10" s="35"/>
      <c r="AB10">
        <v>4</v>
      </c>
      <c r="AC10" s="30">
        <f t="shared" si="9"/>
        <v>38.5</v>
      </c>
      <c r="AD10" s="30">
        <f t="shared" si="10"/>
        <v>38.5</v>
      </c>
      <c r="AE10" s="30">
        <f t="shared" si="11"/>
        <v>38.5</v>
      </c>
      <c r="AG10" s="20">
        <f t="shared" ref="AG10:AG14" si="16">AG9</f>
        <v>280</v>
      </c>
      <c r="AH10" s="20">
        <f t="shared" si="12"/>
        <v>280</v>
      </c>
      <c r="AI10" s="20">
        <f t="shared" si="13"/>
        <v>280</v>
      </c>
    </row>
    <row r="11" spans="2:35" x14ac:dyDescent="0.35">
      <c r="B11" s="4" t="s">
        <v>42</v>
      </c>
      <c r="C11" s="23" t="s">
        <v>48</v>
      </c>
      <c r="D11" s="37">
        <v>-450</v>
      </c>
      <c r="E11" s="36" t="s">
        <v>57</v>
      </c>
      <c r="F11" s="36" t="s">
        <v>59</v>
      </c>
      <c r="G11" s="36" t="s">
        <v>59</v>
      </c>
      <c r="H11" s="24"/>
      <c r="I11" s="25" t="s">
        <v>59</v>
      </c>
      <c r="J11" s="25" t="s">
        <v>59</v>
      </c>
      <c r="K11" s="27" t="s">
        <v>59</v>
      </c>
      <c r="L11" s="24"/>
      <c r="M11" s="27">
        <f t="shared" si="14"/>
        <v>350</v>
      </c>
      <c r="N11" s="27" t="s">
        <v>59</v>
      </c>
      <c r="O11" s="27" t="s">
        <v>59</v>
      </c>
      <c r="P11" s="42" t="s">
        <v>59</v>
      </c>
      <c r="Q11" s="27" t="s">
        <v>59</v>
      </c>
      <c r="R11" s="13" t="s">
        <v>59</v>
      </c>
      <c r="S11" s="29" t="s">
        <v>59</v>
      </c>
      <c r="T11" s="24"/>
      <c r="U11" s="4">
        <v>4</v>
      </c>
      <c r="V11" s="13">
        <f t="shared" si="7"/>
        <v>28.875878300837719</v>
      </c>
      <c r="W11" s="13">
        <f t="shared" si="15"/>
        <v>9.6241216991622807</v>
      </c>
      <c r="X11" s="13" cm="1">
        <f t="array" ref="X11">INDEX(AC10:AE25,ROW($AC$1),MATCH($G$6,$AC$6:$AE$6,0))</f>
        <v>38.5</v>
      </c>
      <c r="Y11" s="27">
        <f t="shared" si="8"/>
        <v>246.96075084677881</v>
      </c>
      <c r="Z11" s="35"/>
      <c r="AB11">
        <v>5</v>
      </c>
      <c r="AC11" s="30">
        <f t="shared" si="9"/>
        <v>38.5</v>
      </c>
      <c r="AD11" s="30">
        <f t="shared" si="10"/>
        <v>38.5</v>
      </c>
      <c r="AE11" s="30">
        <f t="shared" si="11"/>
        <v>38.5</v>
      </c>
      <c r="AG11" s="20">
        <f t="shared" si="16"/>
        <v>280</v>
      </c>
      <c r="AH11" s="20">
        <f t="shared" si="12"/>
        <v>280</v>
      </c>
      <c r="AI11" s="20">
        <f t="shared" si="13"/>
        <v>280</v>
      </c>
    </row>
    <row r="12" spans="2:35" x14ac:dyDescent="0.35">
      <c r="B12" s="4" t="s">
        <v>43</v>
      </c>
      <c r="C12" s="23" t="s">
        <v>49</v>
      </c>
      <c r="D12" s="36" t="s">
        <v>56</v>
      </c>
      <c r="E12" s="38">
        <v>0.15</v>
      </c>
      <c r="F12" s="38">
        <v>0.25</v>
      </c>
      <c r="G12" s="36" t="s">
        <v>60</v>
      </c>
      <c r="H12" s="24"/>
      <c r="I12" s="25">
        <f>$C$2*E12</f>
        <v>105</v>
      </c>
      <c r="J12" s="26">
        <f>$G$6</f>
        <v>8</v>
      </c>
      <c r="K12" s="27">
        <f t="shared" si="1"/>
        <v>840</v>
      </c>
      <c r="L12" s="24"/>
      <c r="M12" s="27">
        <f t="shared" si="14"/>
        <v>350</v>
      </c>
      <c r="N12" s="13">
        <f>M12*F12</f>
        <v>87.5</v>
      </c>
      <c r="O12" s="27">
        <f t="shared" si="3"/>
        <v>262.5</v>
      </c>
      <c r="P12" s="36">
        <f>VLOOKUP(J12,O:P,2,0)</f>
        <v>2.2000000000000002</v>
      </c>
      <c r="Q12" s="27">
        <f t="shared" si="4"/>
        <v>577.5</v>
      </c>
      <c r="R12" s="13">
        <f t="shared" ref="R12:R13" si="17">((M12*(1-F12))*P12)/($G$6*2)</f>
        <v>36.09375</v>
      </c>
      <c r="S12" s="28" t="str">
        <f t="shared" si="6"/>
        <v>APLICA</v>
      </c>
      <c r="T12" s="24"/>
      <c r="U12" s="4">
        <v>5</v>
      </c>
      <c r="V12" s="13">
        <f t="shared" si="7"/>
        <v>27.79278651845798</v>
      </c>
      <c r="W12" s="13">
        <f t="shared" si="15"/>
        <v>10.70721348154202</v>
      </c>
      <c r="X12" s="13" cm="1">
        <f t="array" ref="X12">INDEX(AC11:AE26,ROW($AC$1),MATCH($G$6,$AC$6:$AE$6,0))</f>
        <v>38.5</v>
      </c>
      <c r="Y12" s="27">
        <f t="shared" si="8"/>
        <v>236.25353736523678</v>
      </c>
      <c r="Z12" s="35"/>
      <c r="AB12">
        <v>6</v>
      </c>
      <c r="AC12" s="30">
        <f t="shared" si="9"/>
        <v>38.5</v>
      </c>
      <c r="AD12" s="30">
        <f t="shared" si="10"/>
        <v>38.5</v>
      </c>
      <c r="AE12" s="30">
        <f t="shared" si="11"/>
        <v>38.5</v>
      </c>
      <c r="AG12" s="20">
        <f t="shared" si="16"/>
        <v>280</v>
      </c>
      <c r="AH12" s="20">
        <f t="shared" si="12"/>
        <v>280</v>
      </c>
      <c r="AI12" s="20">
        <f t="shared" si="13"/>
        <v>280</v>
      </c>
    </row>
    <row r="13" spans="2:35" x14ac:dyDescent="0.35">
      <c r="B13" s="4" t="s">
        <v>70</v>
      </c>
      <c r="C13" s="23" t="s">
        <v>71</v>
      </c>
      <c r="D13" s="36" t="s">
        <v>72</v>
      </c>
      <c r="E13" s="38">
        <v>0.15</v>
      </c>
      <c r="F13" s="38">
        <v>0.25</v>
      </c>
      <c r="G13" s="36" t="s">
        <v>60</v>
      </c>
      <c r="H13" s="24"/>
      <c r="I13" s="25">
        <f>$C$2*E13</f>
        <v>105</v>
      </c>
      <c r="J13" s="26">
        <f>$G$6</f>
        <v>8</v>
      </c>
      <c r="K13" s="27">
        <f t="shared" ref="K13" si="18">I13*J13</f>
        <v>840</v>
      </c>
      <c r="L13" s="24"/>
      <c r="M13" s="27">
        <f t="shared" ref="M13" si="19">M12</f>
        <v>350</v>
      </c>
      <c r="N13" s="13">
        <f>M13*F13</f>
        <v>87.5</v>
      </c>
      <c r="O13" s="27">
        <f t="shared" ref="O13" si="20">M13-N13</f>
        <v>262.5</v>
      </c>
      <c r="P13" s="36">
        <f>VLOOKUP(J13,O:P,2,0)</f>
        <v>2.2000000000000002</v>
      </c>
      <c r="Q13" s="27">
        <f t="shared" ref="Q13" si="21">O13*P13</f>
        <v>577.5</v>
      </c>
      <c r="R13" s="13">
        <f t="shared" si="17"/>
        <v>36.09375</v>
      </c>
      <c r="S13" s="28" t="str">
        <f t="shared" ref="S13" si="22">IF(Q13&lt;=K13,"APLICA","NO APLICA")</f>
        <v>APLICA</v>
      </c>
      <c r="T13" s="24"/>
      <c r="U13" s="4">
        <v>6</v>
      </c>
      <c r="V13" s="13">
        <f t="shared" si="7"/>
        <v>26.58780436044421</v>
      </c>
      <c r="W13" s="13">
        <f t="shared" si="15"/>
        <v>11.91219563955579</v>
      </c>
      <c r="X13" s="13" cm="1">
        <f t="array" ref="X13">INDEX(AC12:AE27,ROW($AC$1),MATCH($G$6,$AC$6:$AE$6,0))</f>
        <v>38.5</v>
      </c>
      <c r="Y13" s="27">
        <f t="shared" si="8"/>
        <v>224.34134172568099</v>
      </c>
      <c r="Z13" s="35"/>
      <c r="AB13">
        <v>7</v>
      </c>
      <c r="AC13" s="30">
        <f t="shared" si="9"/>
        <v>38.5</v>
      </c>
      <c r="AD13" s="30">
        <f t="shared" si="10"/>
        <v>38.5</v>
      </c>
      <c r="AE13" s="30">
        <f t="shared" si="11"/>
        <v>38.5</v>
      </c>
      <c r="AG13" s="20">
        <f t="shared" si="16"/>
        <v>280</v>
      </c>
      <c r="AH13" s="20">
        <f t="shared" si="12"/>
        <v>280</v>
      </c>
      <c r="AI13" s="20">
        <f t="shared" si="13"/>
        <v>280</v>
      </c>
    </row>
    <row r="14" spans="2:35" x14ac:dyDescent="0.35">
      <c r="B14" s="4" t="s">
        <v>73</v>
      </c>
      <c r="C14" s="23" t="s">
        <v>74</v>
      </c>
      <c r="D14" s="37">
        <v>0</v>
      </c>
      <c r="E14" s="36" t="s">
        <v>57</v>
      </c>
      <c r="F14" s="36" t="s">
        <v>59</v>
      </c>
      <c r="G14" s="36" t="s">
        <v>59</v>
      </c>
      <c r="H14" s="24"/>
      <c r="I14" s="25" t="s">
        <v>59</v>
      </c>
      <c r="J14" s="25" t="s">
        <v>59</v>
      </c>
      <c r="K14" s="27" t="s">
        <v>59</v>
      </c>
      <c r="L14" s="24"/>
      <c r="M14" s="27" t="s">
        <v>59</v>
      </c>
      <c r="N14" s="27" t="s">
        <v>59</v>
      </c>
      <c r="O14" s="27" t="s">
        <v>59</v>
      </c>
      <c r="P14" s="42" t="s">
        <v>59</v>
      </c>
      <c r="Q14" s="27" t="s">
        <v>59</v>
      </c>
      <c r="R14" s="27" t="s">
        <v>59</v>
      </c>
      <c r="S14" s="29" t="s">
        <v>59</v>
      </c>
      <c r="T14" s="24"/>
      <c r="U14" s="4">
        <v>7</v>
      </c>
      <c r="V14" s="13">
        <f t="shared" si="7"/>
        <v>25.247214370977879</v>
      </c>
      <c r="W14" s="13">
        <f t="shared" si="15"/>
        <v>13.252785629022121</v>
      </c>
      <c r="X14" s="13" cm="1">
        <f t="array" ref="X14">INDEX(AC13:AE28,ROW($AC$1),MATCH($G$6,$AC$6:$AE$6,0))</f>
        <v>38.5</v>
      </c>
      <c r="Y14" s="27">
        <f>Y13-W14</f>
        <v>211.08855609665886</v>
      </c>
      <c r="Z14" s="35"/>
      <c r="AB14">
        <v>8</v>
      </c>
      <c r="AC14" s="30">
        <f t="shared" si="9"/>
        <v>38.5</v>
      </c>
      <c r="AD14" s="30">
        <f t="shared" si="10"/>
        <v>38.5</v>
      </c>
      <c r="AE14" s="30">
        <f t="shared" si="11"/>
        <v>38.5</v>
      </c>
      <c r="AG14" s="20">
        <f t="shared" si="16"/>
        <v>280</v>
      </c>
      <c r="AH14" s="20">
        <f t="shared" si="12"/>
        <v>280</v>
      </c>
      <c r="AI14" s="20">
        <f t="shared" si="13"/>
        <v>280</v>
      </c>
    </row>
    <row r="15" spans="2:35" x14ac:dyDescent="0.35">
      <c r="B15" s="4" t="s">
        <v>90</v>
      </c>
      <c r="C15" s="23" t="s">
        <v>91</v>
      </c>
      <c r="D15" s="37">
        <v>0</v>
      </c>
      <c r="E15" s="36" t="s">
        <v>57</v>
      </c>
      <c r="F15" s="36" t="s">
        <v>59</v>
      </c>
      <c r="G15" s="36" t="s">
        <v>59</v>
      </c>
      <c r="H15" s="24"/>
      <c r="I15" s="25" t="s">
        <v>59</v>
      </c>
      <c r="J15" s="25" t="s">
        <v>59</v>
      </c>
      <c r="K15" s="27" t="s">
        <v>59</v>
      </c>
      <c r="L15" s="24"/>
      <c r="M15" s="27" t="s">
        <v>59</v>
      </c>
      <c r="N15" s="27" t="s">
        <v>59</v>
      </c>
      <c r="O15" s="27" t="s">
        <v>59</v>
      </c>
      <c r="P15" s="42" t="s">
        <v>59</v>
      </c>
      <c r="Q15" s="27" t="s">
        <v>59</v>
      </c>
      <c r="R15" s="27" t="s">
        <v>59</v>
      </c>
      <c r="S15" s="29" t="s">
        <v>59</v>
      </c>
      <c r="U15" s="4">
        <v>8</v>
      </c>
      <c r="V15" s="13">
        <f t="shared" si="7"/>
        <v>23.755755341559787</v>
      </c>
      <c r="W15" s="13">
        <f t="shared" si="15"/>
        <v>14.744244658440213</v>
      </c>
      <c r="X15" s="13" cm="1">
        <f t="array" ref="X15">INDEX(AC14:AE29,ROW($AC$1),MATCH($G$6,$AC$6:$AE$6,0))</f>
        <v>38.5</v>
      </c>
      <c r="Y15" s="27">
        <f t="shared" si="8"/>
        <v>196.34431143821865</v>
      </c>
      <c r="Z15" s="35"/>
      <c r="AB15">
        <v>9</v>
      </c>
      <c r="AD15" s="30">
        <f t="shared" si="10"/>
        <v>38.5</v>
      </c>
      <c r="AE15" s="30">
        <f t="shared" si="11"/>
        <v>38.5</v>
      </c>
      <c r="AH15" s="20">
        <f t="shared" si="12"/>
        <v>280</v>
      </c>
      <c r="AI15" s="20">
        <f t="shared" si="13"/>
        <v>280</v>
      </c>
    </row>
    <row r="16" spans="2:35" x14ac:dyDescent="0.35">
      <c r="U16" s="4">
        <v>9</v>
      </c>
      <c r="V16" s="13">
        <f>Y15*$V$4</f>
        <v>22.096448578185942</v>
      </c>
      <c r="W16" s="13">
        <f>X16-V16</f>
        <v>16.403551421814058</v>
      </c>
      <c r="X16" s="13" cm="1">
        <f t="array" ref="X16">INDEX(AC15:AE30,ROW($AC$1),MATCH($G$6,$AC$6:$AE$6,0))</f>
        <v>38.5</v>
      </c>
      <c r="Y16" s="27">
        <f>Y15-W16</f>
        <v>179.9407600164046</v>
      </c>
      <c r="Z16" s="35"/>
      <c r="AB16">
        <v>10</v>
      </c>
      <c r="AD16" s="30">
        <f t="shared" si="10"/>
        <v>38.5</v>
      </c>
      <c r="AE16" s="30">
        <f t="shared" si="11"/>
        <v>38.5</v>
      </c>
      <c r="AH16" s="20">
        <f t="shared" si="12"/>
        <v>280</v>
      </c>
      <c r="AI16" s="20">
        <f t="shared" si="13"/>
        <v>280</v>
      </c>
    </row>
    <row r="17" spans="21:36" x14ac:dyDescent="0.35">
      <c r="U17" s="4">
        <v>10</v>
      </c>
      <c r="V17" s="13">
        <f t="shared" si="7"/>
        <v>20.250404616755493</v>
      </c>
      <c r="W17" s="13">
        <f t="shared" si="15"/>
        <v>18.249595383244507</v>
      </c>
      <c r="X17" s="13" cm="1">
        <f t="array" ref="X17">INDEX(AC16:AE31,ROW($AC$1),MATCH($G$6,$AC$6:$AE$6,0))</f>
        <v>38.5</v>
      </c>
      <c r="Y17" s="27">
        <f t="shared" si="8"/>
        <v>161.6911646331601</v>
      </c>
      <c r="Z17" s="35"/>
      <c r="AB17">
        <v>11</v>
      </c>
      <c r="AD17" s="30">
        <f t="shared" si="10"/>
        <v>38.5</v>
      </c>
      <c r="AE17" s="30">
        <f t="shared" si="11"/>
        <v>38.5</v>
      </c>
      <c r="AH17" s="20">
        <f t="shared" si="12"/>
        <v>280</v>
      </c>
      <c r="AI17" s="20">
        <f t="shared" si="13"/>
        <v>280</v>
      </c>
    </row>
    <row r="18" spans="21:36" x14ac:dyDescent="0.35">
      <c r="U18" s="4">
        <v>11</v>
      </c>
      <c r="V18" s="13">
        <f t="shared" si="7"/>
        <v>18.196608186368724</v>
      </c>
      <c r="W18" s="13">
        <f t="shared" si="15"/>
        <v>20.303391813631276</v>
      </c>
      <c r="X18" s="13" cm="1">
        <f t="array" ref="X18">INDEX(AC17:AE32,ROW($AC$1),MATCH($G$6,$AC$6:$AE$6,0))</f>
        <v>38.5</v>
      </c>
      <c r="Y18" s="27">
        <f t="shared" si="8"/>
        <v>141.38777281952883</v>
      </c>
      <c r="Z18" s="35"/>
      <c r="AB18">
        <v>12</v>
      </c>
      <c r="AD18" s="30">
        <f t="shared" si="10"/>
        <v>38.5</v>
      </c>
      <c r="AE18" s="30">
        <f t="shared" si="11"/>
        <v>38.5</v>
      </c>
      <c r="AH18" s="20">
        <f t="shared" si="12"/>
        <v>280</v>
      </c>
      <c r="AI18" s="20">
        <f t="shared" si="13"/>
        <v>280</v>
      </c>
      <c r="AJ18" s="20"/>
    </row>
    <row r="19" spans="21:36" x14ac:dyDescent="0.35">
      <c r="U19" s="4">
        <v>12</v>
      </c>
      <c r="V19" s="13">
        <f t="shared" si="7"/>
        <v>15.911678972548181</v>
      </c>
      <c r="W19" s="13">
        <f t="shared" si="15"/>
        <v>22.588321027451819</v>
      </c>
      <c r="X19" s="13" cm="1">
        <f t="array" ref="X19">INDEX(AC18:AE33,ROW($AC$1),MATCH($G$6,$AC$6:$AE$6,0))</f>
        <v>38.5</v>
      </c>
      <c r="Y19" s="27">
        <f t="shared" si="8"/>
        <v>118.79945179207701</v>
      </c>
      <c r="Z19" s="35"/>
      <c r="AB19">
        <v>13</v>
      </c>
      <c r="AE19" s="30">
        <f t="shared" si="11"/>
        <v>38.5</v>
      </c>
      <c r="AI19" s="20">
        <f t="shared" si="13"/>
        <v>280</v>
      </c>
      <c r="AJ19" s="20"/>
    </row>
    <row r="20" spans="21:36" x14ac:dyDescent="0.35">
      <c r="U20" s="4">
        <v>13</v>
      </c>
      <c r="V20" s="13">
        <f t="shared" si="7"/>
        <v>13.369605456923573</v>
      </c>
      <c r="W20" s="13">
        <f t="shared" si="15"/>
        <v>25.130394543076427</v>
      </c>
      <c r="X20" s="13" cm="1">
        <f t="array" ref="X20">INDEX(AC19:AE34,ROW($AC$1),MATCH($G$6,$AC$6:$AE$6,0))</f>
        <v>38.5</v>
      </c>
      <c r="Y20" s="27">
        <f t="shared" si="8"/>
        <v>93.669057249000588</v>
      </c>
      <c r="Z20" s="35"/>
      <c r="AB20">
        <v>14</v>
      </c>
      <c r="AE20" s="30">
        <f t="shared" si="11"/>
        <v>38.5</v>
      </c>
      <c r="AI20" s="20">
        <f t="shared" si="13"/>
        <v>280</v>
      </c>
      <c r="AJ20" s="20"/>
    </row>
    <row r="21" spans="21:36" x14ac:dyDescent="0.35">
      <c r="U21" s="4">
        <v>14</v>
      </c>
      <c r="V21" s="13">
        <f t="shared" si="7"/>
        <v>10.541448803424904</v>
      </c>
      <c r="W21" s="13">
        <f t="shared" si="15"/>
        <v>27.958551196575094</v>
      </c>
      <c r="X21" s="13" cm="1">
        <f t="array" ref="X21">INDEX(AC20:AE35,ROW($AC$1),MATCH($G$6,$AC$6:$AE$6,0))</f>
        <v>38.5</v>
      </c>
      <c r="Y21" s="27">
        <f t="shared" si="8"/>
        <v>65.710506052425501</v>
      </c>
      <c r="Z21" s="35"/>
      <c r="AB21">
        <v>15</v>
      </c>
      <c r="AE21" s="30">
        <f t="shared" si="11"/>
        <v>38.5</v>
      </c>
      <c r="AI21" s="20">
        <f t="shared" si="13"/>
        <v>280</v>
      </c>
      <c r="AJ21" s="20"/>
    </row>
    <row r="22" spans="21:36" x14ac:dyDescent="0.35">
      <c r="U22" s="4">
        <v>15</v>
      </c>
      <c r="V22" s="13">
        <f t="shared" si="7"/>
        <v>7.395013420039267</v>
      </c>
      <c r="W22" s="13">
        <f t="shared" si="15"/>
        <v>31.104986579960734</v>
      </c>
      <c r="X22" s="13" cm="1">
        <f t="array" ref="X22">INDEX(AC21:AE36,ROW($AC$1),MATCH($G$6,$AC$6:$AE$6,0))</f>
        <v>38.5</v>
      </c>
      <c r="Y22" s="27">
        <f t="shared" si="8"/>
        <v>34.605519472464763</v>
      </c>
      <c r="Z22" s="35"/>
      <c r="AB22">
        <v>16</v>
      </c>
      <c r="AE22" s="30">
        <f t="shared" si="11"/>
        <v>38.5</v>
      </c>
      <c r="AI22" s="20">
        <f t="shared" si="13"/>
        <v>280</v>
      </c>
      <c r="AJ22" s="20"/>
    </row>
    <row r="23" spans="21:36" x14ac:dyDescent="0.35">
      <c r="U23" s="4">
        <v>16</v>
      </c>
      <c r="V23" s="13">
        <f t="shared" si="7"/>
        <v>3.8944804458230315</v>
      </c>
      <c r="W23" s="13">
        <f t="shared" si="15"/>
        <v>34.605519554176965</v>
      </c>
      <c r="X23" s="13" cm="1">
        <f t="array" ref="X23">INDEX(AC22:AE37,ROW($AC$1),MATCH($G$6,$AC$6:$AE$6,0))</f>
        <v>38.5</v>
      </c>
      <c r="Y23" s="27">
        <f t="shared" si="8"/>
        <v>-8.1712201449590793E-8</v>
      </c>
      <c r="Z23" s="35"/>
    </row>
    <row r="24" spans="21:36" x14ac:dyDescent="0.35">
      <c r="U24" s="4" t="s">
        <v>88</v>
      </c>
      <c r="V24" s="13">
        <f>SUM(V8:V23)</f>
        <v>335.99999991828781</v>
      </c>
      <c r="W24" s="13">
        <f>SUM(W8:W23)</f>
        <v>280.00000008171219</v>
      </c>
      <c r="X24" s="13">
        <f>V24+W24</f>
        <v>616</v>
      </c>
    </row>
  </sheetData>
  <mergeCells count="4">
    <mergeCell ref="D6:F6"/>
    <mergeCell ref="I6:K6"/>
    <mergeCell ref="M6:S6"/>
    <mergeCell ref="U5:Y5"/>
  </mergeCells>
  <conditionalFormatting sqref="S8:S15">
    <cfRule type="cellIs" dxfId="9" priority="8" operator="equal">
      <formula>"Rejected"</formula>
    </cfRule>
    <cfRule type="cellIs" dxfId="8" priority="9" operator="equal">
      <formula>"NO APLICA"</formula>
    </cfRule>
    <cfRule type="cellIs" dxfId="7" priority="10" operator="equal">
      <formula>"APLICA"</formula>
    </cfRule>
  </conditionalFormatting>
  <conditionalFormatting sqref="U8:Y23">
    <cfRule type="cellIs" dxfId="6" priority="1" operator="between">
      <formula>0</formula>
      <formula>0</formula>
    </cfRule>
  </conditionalFormatting>
  <dataValidations count="1">
    <dataValidation type="list" allowBlank="1" showInputMessage="1" showErrorMessage="1" sqref="G6" xr:uid="{98E2DEE5-60F2-4C89-B840-A5AC81A573F8}">
      <formula1>$O$2:$O$5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A596-074E-47A5-AE12-82931D11CC02}">
  <dimension ref="A1:J16"/>
  <sheetViews>
    <sheetView workbookViewId="0">
      <selection activeCell="A5" sqref="A5"/>
    </sheetView>
  </sheetViews>
  <sheetFormatPr baseColWidth="10" defaultColWidth="8.90625" defaultRowHeight="14.5" x14ac:dyDescent="0.35"/>
  <cols>
    <col min="1" max="1" width="56.08984375" bestFit="1" customWidth="1"/>
    <col min="2" max="2" width="8.08984375" bestFit="1" customWidth="1"/>
    <col min="3" max="3" width="14.90625" bestFit="1" customWidth="1"/>
    <col min="4" max="10" width="18" customWidth="1"/>
  </cols>
  <sheetData>
    <row r="1" spans="1:10" x14ac:dyDescent="0.35">
      <c r="A1" t="s">
        <v>0</v>
      </c>
      <c r="D1">
        <v>400</v>
      </c>
    </row>
    <row r="2" spans="1:10" x14ac:dyDescent="0.35">
      <c r="A2" t="s">
        <v>1</v>
      </c>
      <c r="D2" s="1">
        <v>0.2</v>
      </c>
    </row>
    <row r="3" spans="1:10" x14ac:dyDescent="0.35">
      <c r="A3" t="s">
        <v>33</v>
      </c>
      <c r="D3" s="17">
        <f>D1*D2</f>
        <v>80</v>
      </c>
    </row>
    <row r="4" spans="1:10" x14ac:dyDescent="0.35">
      <c r="A4" t="s">
        <v>2</v>
      </c>
      <c r="D4">
        <v>400</v>
      </c>
    </row>
    <row r="5" spans="1:10" x14ac:dyDescent="0.35">
      <c r="A5" t="s">
        <v>3</v>
      </c>
      <c r="D5" s="18">
        <f>+D1-D3</f>
        <v>320</v>
      </c>
    </row>
    <row r="6" spans="1:10" x14ac:dyDescent="0.35">
      <c r="A6" t="s">
        <v>34</v>
      </c>
      <c r="D6" s="18">
        <f>D1-D3</f>
        <v>320</v>
      </c>
    </row>
    <row r="8" spans="1:10" x14ac:dyDescent="0.35">
      <c r="A8" s="2" t="s">
        <v>4</v>
      </c>
      <c r="B8" s="2" t="s">
        <v>32</v>
      </c>
      <c r="C8" s="2" t="s">
        <v>30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</row>
    <row r="9" spans="1:10" x14ac:dyDescent="0.35">
      <c r="A9">
        <v>4</v>
      </c>
      <c r="B9" s="19">
        <v>1.6559470884320184</v>
      </c>
      <c r="C9" s="3">
        <f>D9/2</f>
        <v>40</v>
      </c>
      <c r="D9" s="3">
        <f>D5/A9</f>
        <v>80</v>
      </c>
      <c r="E9">
        <f>D4*0.1</f>
        <v>40</v>
      </c>
      <c r="F9" t="str">
        <f>IF(D9&lt;=E9,"SI","NO")</f>
        <v>NO</v>
      </c>
      <c r="G9">
        <f>D4*0.2</f>
        <v>80</v>
      </c>
      <c r="H9" t="str">
        <f>IF(D9&lt;=G9,"SI","NO")</f>
        <v>SI</v>
      </c>
      <c r="I9">
        <f>D4*0.3</f>
        <v>120</v>
      </c>
      <c r="J9" t="str">
        <f>IF(D9&lt;=I9,"SI","NO")</f>
        <v>SI</v>
      </c>
    </row>
    <row r="10" spans="1:10" x14ac:dyDescent="0.35">
      <c r="A10">
        <v>6</v>
      </c>
      <c r="B10" s="19">
        <v>1.7618657718478514</v>
      </c>
      <c r="C10" s="3">
        <f t="shared" ref="C10:C11" si="0">D10/2</f>
        <v>26.666666666666668</v>
      </c>
      <c r="D10" s="3">
        <f>D5/A10</f>
        <v>53.333333333333336</v>
      </c>
      <c r="E10">
        <f>D4*0.1</f>
        <v>40</v>
      </c>
      <c r="F10" t="str">
        <f>IF(D10&lt;=E10,"SI","NO")</f>
        <v>NO</v>
      </c>
      <c r="G10">
        <f>D4*0.2</f>
        <v>80</v>
      </c>
      <c r="H10" t="str">
        <f>IF(D10&lt;=G10,"SI","NO")</f>
        <v>SI</v>
      </c>
      <c r="I10">
        <f>D4*0.3</f>
        <v>120</v>
      </c>
      <c r="J10" t="str">
        <f>IF(D10&lt;=I10,"SI","NO")</f>
        <v>SI</v>
      </c>
    </row>
    <row r="11" spans="1:10" x14ac:dyDescent="0.35">
      <c r="A11">
        <v>8</v>
      </c>
      <c r="B11" s="19">
        <v>2.0194294301943891</v>
      </c>
      <c r="C11" s="3">
        <f t="shared" si="0"/>
        <v>20</v>
      </c>
      <c r="D11" s="3">
        <f>D5/A11</f>
        <v>40</v>
      </c>
      <c r="E11">
        <f>D4*0.1</f>
        <v>40</v>
      </c>
      <c r="F11" t="str">
        <f>IF(D11&lt;=E11,"SI","NO")</f>
        <v>SI</v>
      </c>
      <c r="G11">
        <f>D4*0.2</f>
        <v>80</v>
      </c>
      <c r="H11" t="str">
        <f>IF(D11&lt;=G11,"SI","NO")</f>
        <v>SI</v>
      </c>
      <c r="I11">
        <f>D4*0.3</f>
        <v>120</v>
      </c>
      <c r="J11" t="str">
        <f>IF(D11&lt;=I11,"SI","NO")</f>
        <v>SI</v>
      </c>
    </row>
    <row r="13" spans="1:10" x14ac:dyDescent="0.35">
      <c r="A13" s="2" t="s">
        <v>12</v>
      </c>
      <c r="B13" s="2"/>
      <c r="C13" s="2"/>
    </row>
    <row r="14" spans="1:10" x14ac:dyDescent="0.35">
      <c r="A14" t="s">
        <v>13</v>
      </c>
    </row>
    <row r="15" spans="1:10" x14ac:dyDescent="0.35">
      <c r="A15" t="s">
        <v>14</v>
      </c>
    </row>
    <row r="16" spans="1:10" x14ac:dyDescent="0.35">
      <c r="A16" t="s">
        <v>15</v>
      </c>
    </row>
  </sheetData>
  <conditionalFormatting sqref="F9:F11">
    <cfRule type="expression" dxfId="5" priority="1">
      <formula>F9="SI"</formula>
    </cfRule>
    <cfRule type="expression" dxfId="4" priority="2">
      <formula>F9="NO"</formula>
    </cfRule>
  </conditionalFormatting>
  <conditionalFormatting sqref="H9:H11">
    <cfRule type="expression" dxfId="3" priority="3">
      <formula>H9="SI"</formula>
    </cfRule>
    <cfRule type="expression" dxfId="2" priority="4">
      <formula>H9="NO"</formula>
    </cfRule>
  </conditionalFormatting>
  <conditionalFormatting sqref="J9:J11">
    <cfRule type="expression" dxfId="1" priority="5">
      <formula>J9="SI"</formula>
    </cfRule>
    <cfRule type="expression" dxfId="0" priority="6">
      <formula>J9="NO"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E6EA-6F17-42A4-A7EB-B0F52F603A83}">
  <dimension ref="A1:M13"/>
  <sheetViews>
    <sheetView workbookViewId="0">
      <selection activeCell="D20" sqref="D20"/>
    </sheetView>
  </sheetViews>
  <sheetFormatPr baseColWidth="10" defaultColWidth="8.90625" defaultRowHeight="14.5" x14ac:dyDescent="0.35"/>
  <cols>
    <col min="1" max="1" width="20.1796875" bestFit="1" customWidth="1"/>
    <col min="2" max="13" width="18" customWidth="1"/>
  </cols>
  <sheetData>
    <row r="1" spans="1:13" x14ac:dyDescent="0.35">
      <c r="A1" s="2" t="s">
        <v>2</v>
      </c>
      <c r="B1" s="2" t="s">
        <v>16</v>
      </c>
    </row>
    <row r="2" spans="1:13" x14ac:dyDescent="0.35">
      <c r="B2">
        <f>Simulador!D5</f>
        <v>320</v>
      </c>
    </row>
    <row r="4" spans="1:13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</row>
    <row r="5" spans="1:13" x14ac:dyDescent="0.35">
      <c r="A5">
        <v>400</v>
      </c>
      <c r="B5">
        <f>Simulador!D5/4</f>
        <v>80</v>
      </c>
      <c r="C5" t="str">
        <f t="shared" ref="C5:C13" si="0">IF(B5&lt;=A5*0.1,"SI","NO")</f>
        <v>NO</v>
      </c>
      <c r="D5" t="str">
        <f t="shared" ref="D5:D13" si="1">IF(B5&lt;=A5*0.2,"SI","NO")</f>
        <v>SI</v>
      </c>
      <c r="E5" t="str">
        <f t="shared" ref="E5:E13" si="2">IF(B5&lt;=A5*0.3,"SI","NO")</f>
        <v>SI</v>
      </c>
      <c r="F5" s="3">
        <f>Simulador!D5/6</f>
        <v>53.333333333333336</v>
      </c>
      <c r="G5" t="str">
        <f t="shared" ref="G5:G13" si="3">IF(F5&lt;=A5*0.1,"SI","NO")</f>
        <v>NO</v>
      </c>
      <c r="H5" t="str">
        <f t="shared" ref="H5:H13" si="4">IF(F5&lt;=A5*0.2,"SI","NO")</f>
        <v>SI</v>
      </c>
      <c r="I5" t="str">
        <f t="shared" ref="I5:I13" si="5">IF(F5&lt;=A5*0.3,"SI","NO")</f>
        <v>SI</v>
      </c>
      <c r="J5">
        <f>Simulador!D5/8</f>
        <v>40</v>
      </c>
      <c r="K5" t="str">
        <f t="shared" ref="K5:K13" si="6">IF(J5&lt;=A5*0.1,"SI","NO")</f>
        <v>SI</v>
      </c>
      <c r="L5" t="str">
        <f t="shared" ref="L5:L13" si="7">IF(J5&lt;=A5*0.2,"SI","NO")</f>
        <v>SI</v>
      </c>
      <c r="M5" t="str">
        <f t="shared" ref="M5:M13" si="8">IF(J5&lt;=A5*0.3,"SI","NO")</f>
        <v>SI</v>
      </c>
    </row>
    <row r="6" spans="1:13" x14ac:dyDescent="0.35">
      <c r="A6">
        <v>500</v>
      </c>
      <c r="B6">
        <f>Simulador!D5/4</f>
        <v>80</v>
      </c>
      <c r="C6" t="str">
        <f t="shared" si="0"/>
        <v>NO</v>
      </c>
      <c r="D6" t="str">
        <f t="shared" si="1"/>
        <v>SI</v>
      </c>
      <c r="E6" t="str">
        <f t="shared" si="2"/>
        <v>SI</v>
      </c>
      <c r="F6" s="3">
        <f>Simulador!D5/6</f>
        <v>53.333333333333336</v>
      </c>
      <c r="G6" t="str">
        <f t="shared" si="3"/>
        <v>NO</v>
      </c>
      <c r="H6" t="str">
        <f t="shared" si="4"/>
        <v>SI</v>
      </c>
      <c r="I6" t="str">
        <f t="shared" si="5"/>
        <v>SI</v>
      </c>
      <c r="J6">
        <f>Simulador!D5/8</f>
        <v>40</v>
      </c>
      <c r="K6" t="str">
        <f t="shared" si="6"/>
        <v>SI</v>
      </c>
      <c r="L6" t="str">
        <f t="shared" si="7"/>
        <v>SI</v>
      </c>
      <c r="M6" t="str">
        <f t="shared" si="8"/>
        <v>SI</v>
      </c>
    </row>
    <row r="7" spans="1:13" x14ac:dyDescent="0.35">
      <c r="A7">
        <v>600</v>
      </c>
      <c r="B7">
        <f>Simulador!D5/4</f>
        <v>80</v>
      </c>
      <c r="C7" t="str">
        <f t="shared" si="0"/>
        <v>NO</v>
      </c>
      <c r="D7" t="str">
        <f t="shared" si="1"/>
        <v>SI</v>
      </c>
      <c r="E7" t="str">
        <f t="shared" si="2"/>
        <v>SI</v>
      </c>
      <c r="F7" s="3">
        <f>Simulador!D5/6</f>
        <v>53.333333333333336</v>
      </c>
      <c r="G7" t="str">
        <f t="shared" si="3"/>
        <v>SI</v>
      </c>
      <c r="H7" t="str">
        <f t="shared" si="4"/>
        <v>SI</v>
      </c>
      <c r="I7" t="str">
        <f t="shared" si="5"/>
        <v>SI</v>
      </c>
      <c r="J7">
        <f>Simulador!D5/8</f>
        <v>40</v>
      </c>
      <c r="K7" t="str">
        <f t="shared" si="6"/>
        <v>SI</v>
      </c>
      <c r="L7" t="str">
        <f t="shared" si="7"/>
        <v>SI</v>
      </c>
      <c r="M7" t="str">
        <f t="shared" si="8"/>
        <v>SI</v>
      </c>
    </row>
    <row r="8" spans="1:13" x14ac:dyDescent="0.35">
      <c r="A8">
        <v>700</v>
      </c>
      <c r="B8">
        <f>Simulador!D5/4</f>
        <v>80</v>
      </c>
      <c r="C8" t="str">
        <f t="shared" si="0"/>
        <v>NO</v>
      </c>
      <c r="D8" t="str">
        <f t="shared" si="1"/>
        <v>SI</v>
      </c>
      <c r="E8" t="str">
        <f t="shared" si="2"/>
        <v>SI</v>
      </c>
      <c r="F8" s="3">
        <f>Simulador!D5/6</f>
        <v>53.333333333333336</v>
      </c>
      <c r="G8" t="str">
        <f t="shared" si="3"/>
        <v>SI</v>
      </c>
      <c r="H8" t="str">
        <f t="shared" si="4"/>
        <v>SI</v>
      </c>
      <c r="I8" t="str">
        <f t="shared" si="5"/>
        <v>SI</v>
      </c>
      <c r="J8">
        <f>Simulador!D5/8</f>
        <v>40</v>
      </c>
      <c r="K8" t="str">
        <f t="shared" si="6"/>
        <v>SI</v>
      </c>
      <c r="L8" t="str">
        <f t="shared" si="7"/>
        <v>SI</v>
      </c>
      <c r="M8" t="str">
        <f t="shared" si="8"/>
        <v>SI</v>
      </c>
    </row>
    <row r="9" spans="1:13" x14ac:dyDescent="0.35">
      <c r="A9">
        <v>800</v>
      </c>
      <c r="B9">
        <f>Simulador!D5/4</f>
        <v>80</v>
      </c>
      <c r="C9" t="str">
        <f t="shared" si="0"/>
        <v>SI</v>
      </c>
      <c r="D9" t="str">
        <f t="shared" si="1"/>
        <v>SI</v>
      </c>
      <c r="E9" t="str">
        <f t="shared" si="2"/>
        <v>SI</v>
      </c>
      <c r="F9" s="3">
        <f>Simulador!D5/6</f>
        <v>53.333333333333336</v>
      </c>
      <c r="G9" t="str">
        <f t="shared" si="3"/>
        <v>SI</v>
      </c>
      <c r="H9" t="str">
        <f t="shared" si="4"/>
        <v>SI</v>
      </c>
      <c r="I9" t="str">
        <f t="shared" si="5"/>
        <v>SI</v>
      </c>
      <c r="J9">
        <f>Simulador!D5/8</f>
        <v>40</v>
      </c>
      <c r="K9" t="str">
        <f t="shared" si="6"/>
        <v>SI</v>
      </c>
      <c r="L9" t="str">
        <f t="shared" si="7"/>
        <v>SI</v>
      </c>
      <c r="M9" t="str">
        <f t="shared" si="8"/>
        <v>SI</v>
      </c>
    </row>
    <row r="10" spans="1:13" x14ac:dyDescent="0.35">
      <c r="A10">
        <v>1000</v>
      </c>
      <c r="B10">
        <f>Simulador!D5/4</f>
        <v>80</v>
      </c>
      <c r="C10" t="str">
        <f t="shared" si="0"/>
        <v>SI</v>
      </c>
      <c r="D10" t="str">
        <f t="shared" si="1"/>
        <v>SI</v>
      </c>
      <c r="E10" t="str">
        <f t="shared" si="2"/>
        <v>SI</v>
      </c>
      <c r="F10" s="3">
        <f>Simulador!D5/6</f>
        <v>53.333333333333336</v>
      </c>
      <c r="G10" t="str">
        <f t="shared" si="3"/>
        <v>SI</v>
      </c>
      <c r="H10" t="str">
        <f t="shared" si="4"/>
        <v>SI</v>
      </c>
      <c r="I10" t="str">
        <f t="shared" si="5"/>
        <v>SI</v>
      </c>
      <c r="J10">
        <f>Simulador!D5/8</f>
        <v>40</v>
      </c>
      <c r="K10" t="str">
        <f t="shared" si="6"/>
        <v>SI</v>
      </c>
      <c r="L10" t="str">
        <f t="shared" si="7"/>
        <v>SI</v>
      </c>
      <c r="M10" t="str">
        <f t="shared" si="8"/>
        <v>SI</v>
      </c>
    </row>
    <row r="11" spans="1:13" x14ac:dyDescent="0.35">
      <c r="A11">
        <v>1500</v>
      </c>
      <c r="B11">
        <f>Simulador!D5/4</f>
        <v>80</v>
      </c>
      <c r="C11" t="str">
        <f t="shared" si="0"/>
        <v>SI</v>
      </c>
      <c r="D11" t="str">
        <f t="shared" si="1"/>
        <v>SI</v>
      </c>
      <c r="E11" t="str">
        <f t="shared" si="2"/>
        <v>SI</v>
      </c>
      <c r="F11" s="3">
        <f>Simulador!D5/6</f>
        <v>53.333333333333336</v>
      </c>
      <c r="G11" t="str">
        <f t="shared" si="3"/>
        <v>SI</v>
      </c>
      <c r="H11" t="str">
        <f t="shared" si="4"/>
        <v>SI</v>
      </c>
      <c r="I11" t="str">
        <f t="shared" si="5"/>
        <v>SI</v>
      </c>
      <c r="J11">
        <f>Simulador!D5/8</f>
        <v>40</v>
      </c>
      <c r="K11" t="str">
        <f t="shared" si="6"/>
        <v>SI</v>
      </c>
      <c r="L11" t="str">
        <f t="shared" si="7"/>
        <v>SI</v>
      </c>
      <c r="M11" t="str">
        <f t="shared" si="8"/>
        <v>SI</v>
      </c>
    </row>
    <row r="12" spans="1:13" x14ac:dyDescent="0.35">
      <c r="A12">
        <v>2000</v>
      </c>
      <c r="B12">
        <f>Simulador!D5/4</f>
        <v>80</v>
      </c>
      <c r="C12" t="str">
        <f t="shared" si="0"/>
        <v>SI</v>
      </c>
      <c r="D12" t="str">
        <f t="shared" si="1"/>
        <v>SI</v>
      </c>
      <c r="E12" t="str">
        <f t="shared" si="2"/>
        <v>SI</v>
      </c>
      <c r="F12" s="3">
        <f>Simulador!D5/6</f>
        <v>53.333333333333336</v>
      </c>
      <c r="G12" t="str">
        <f t="shared" si="3"/>
        <v>SI</v>
      </c>
      <c r="H12" t="str">
        <f t="shared" si="4"/>
        <v>SI</v>
      </c>
      <c r="I12" t="str">
        <f t="shared" si="5"/>
        <v>SI</v>
      </c>
      <c r="J12">
        <f>Simulador!D5/8</f>
        <v>40</v>
      </c>
      <c r="K12" t="str">
        <f t="shared" si="6"/>
        <v>SI</v>
      </c>
      <c r="L12" t="str">
        <f t="shared" si="7"/>
        <v>SI</v>
      </c>
      <c r="M12" t="str">
        <f t="shared" si="8"/>
        <v>SI</v>
      </c>
    </row>
    <row r="13" spans="1:13" x14ac:dyDescent="0.35">
      <c r="A13">
        <v>3000</v>
      </c>
      <c r="B13">
        <f>Simulador!D5/4</f>
        <v>80</v>
      </c>
      <c r="C13" t="str">
        <f t="shared" si="0"/>
        <v>SI</v>
      </c>
      <c r="D13" t="str">
        <f t="shared" si="1"/>
        <v>SI</v>
      </c>
      <c r="E13" t="str">
        <f t="shared" si="2"/>
        <v>SI</v>
      </c>
      <c r="F13" s="3">
        <f>Simulador!D5/6</f>
        <v>53.333333333333336</v>
      </c>
      <c r="G13" t="str">
        <f t="shared" si="3"/>
        <v>SI</v>
      </c>
      <c r="H13" t="str">
        <f t="shared" si="4"/>
        <v>SI</v>
      </c>
      <c r="I13" t="str">
        <f t="shared" si="5"/>
        <v>SI</v>
      </c>
      <c r="J13">
        <f>Simulador!D5/8</f>
        <v>40</v>
      </c>
      <c r="K13" t="str">
        <f t="shared" si="6"/>
        <v>SI</v>
      </c>
      <c r="L13" t="str">
        <f t="shared" si="7"/>
        <v>SI</v>
      </c>
      <c r="M13" t="str">
        <f t="shared" si="8"/>
        <v>SI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5141-2733-44F6-82C1-E6F985BC9ABA}">
  <dimension ref="B2:M5"/>
  <sheetViews>
    <sheetView workbookViewId="0">
      <selection activeCell="B5" sqref="B5:M5"/>
    </sheetView>
  </sheetViews>
  <sheetFormatPr baseColWidth="10" defaultRowHeight="14.5" x14ac:dyDescent="0.35"/>
  <sheetData>
    <row r="2" spans="2:13" x14ac:dyDescent="0.35">
      <c r="B2">
        <v>5</v>
      </c>
    </row>
    <row r="3" spans="2:13" x14ac:dyDescent="0.3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2:13" x14ac:dyDescent="0.35">
      <c r="B4">
        <v>500</v>
      </c>
      <c r="C4">
        <v>500</v>
      </c>
      <c r="D4">
        <v>500</v>
      </c>
      <c r="E4">
        <v>1000</v>
      </c>
      <c r="F4">
        <v>1000</v>
      </c>
      <c r="G4">
        <v>1000</v>
      </c>
      <c r="H4">
        <v>2000</v>
      </c>
      <c r="I4">
        <v>2000</v>
      </c>
      <c r="J4">
        <v>2000</v>
      </c>
      <c r="K4">
        <v>2000</v>
      </c>
      <c r="L4">
        <v>2000</v>
      </c>
      <c r="M4">
        <v>2000</v>
      </c>
    </row>
    <row r="5" spans="2:13" x14ac:dyDescent="0.35">
      <c r="B5">
        <f>B4*$B$2</f>
        <v>2500</v>
      </c>
      <c r="C5">
        <f t="shared" ref="C5:M5" si="0">C4*$B$2</f>
        <v>2500</v>
      </c>
      <c r="D5">
        <f t="shared" si="0"/>
        <v>2500</v>
      </c>
      <c r="E5">
        <f t="shared" si="0"/>
        <v>5000</v>
      </c>
      <c r="F5">
        <f t="shared" si="0"/>
        <v>5000</v>
      </c>
      <c r="G5">
        <f t="shared" si="0"/>
        <v>5000</v>
      </c>
      <c r="H5">
        <f t="shared" si="0"/>
        <v>10000</v>
      </c>
      <c r="I5">
        <f t="shared" si="0"/>
        <v>10000</v>
      </c>
      <c r="J5">
        <f t="shared" si="0"/>
        <v>10000</v>
      </c>
      <c r="K5">
        <f t="shared" si="0"/>
        <v>10000</v>
      </c>
      <c r="L5">
        <f t="shared" si="0"/>
        <v>10000</v>
      </c>
      <c r="M5">
        <f t="shared" si="0"/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Simulador (2)</vt:lpstr>
      <vt:lpstr>Hoja1</vt:lpstr>
      <vt:lpstr>Hoja3</vt:lpstr>
      <vt:lpstr>Simulador</vt:lpstr>
      <vt:lpstr>Tabla Rápida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jodgely.mendoza@outlook.com</dc:creator>
  <cp:lastModifiedBy>Jodgely  Mendoza</cp:lastModifiedBy>
  <dcterms:created xsi:type="dcterms:W3CDTF">2025-10-01T19:22:05Z</dcterms:created>
  <dcterms:modified xsi:type="dcterms:W3CDTF">2026-03-14T15:47:00Z</dcterms:modified>
</cp:coreProperties>
</file>